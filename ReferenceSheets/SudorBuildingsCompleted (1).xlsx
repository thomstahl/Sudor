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UpgradeStats" sheetId="1" r:id="rId5"/>
  </sheets>
  <definedNames/>
  <calcPr/>
</workbook>
</file>

<file path=xl/sharedStrings.xml><?xml version="1.0" encoding="utf-8"?>
<sst xmlns="http://schemas.openxmlformats.org/spreadsheetml/2006/main" count="290" uniqueCount="162">
  <si>
    <t>Level 1 Building Stats</t>
  </si>
  <si>
    <t>Level 2 Building Stats</t>
  </si>
  <si>
    <t>Level 3 Building Stats</t>
  </si>
  <si>
    <t>*Garrison means how many units can be stationed inside the building during battle, or passively outside of battle. In a battle, units garrisoned in a building recieve bonus defensive stats in all their defense stats equal to 25% the garrison building's defense in its 4 respective defense stats.</t>
  </si>
  <si>
    <t>HeavyDEF</t>
  </si>
  <si>
    <t>MeleeDEF</t>
  </si>
  <si>
    <t>PierceDEF</t>
  </si>
  <si>
    <t>Garrison</t>
  </si>
  <si>
    <t>Library</t>
  </si>
  <si>
    <t>Workshop</t>
  </si>
  <si>
    <t xml:space="preserve">Mine </t>
  </si>
  <si>
    <t>Pasture</t>
  </si>
  <si>
    <t>Fishery</t>
  </si>
  <si>
    <t>Farm</t>
  </si>
  <si>
    <t>Mill</t>
  </si>
  <si>
    <t>Logging Camp</t>
  </si>
  <si>
    <t>Forge</t>
  </si>
  <si>
    <t>Dockyard</t>
  </si>
  <si>
    <t>Smithy</t>
  </si>
  <si>
    <t>Brewery</t>
  </si>
  <si>
    <t>Hospital</t>
  </si>
  <si>
    <t>Housing</t>
  </si>
  <si>
    <t>Wonder</t>
  </si>
  <si>
    <t>No Wonder Upgrade</t>
  </si>
  <si>
    <t>N/A</t>
  </si>
  <si>
    <t>University</t>
  </si>
  <si>
    <t>Tower</t>
  </si>
  <si>
    <t>Wooden Wall</t>
  </si>
  <si>
    <t>Stone Wall</t>
  </si>
  <si>
    <t>Fort</t>
  </si>
  <si>
    <t>Hall</t>
  </si>
  <si>
    <t>Monument</t>
  </si>
  <si>
    <t>No Monument Upgrade</t>
  </si>
  <si>
    <t>Church</t>
  </si>
  <si>
    <t>Capital</t>
  </si>
  <si>
    <t>#*# means, # or # suffices for the build price. Like in university, 2Book*Scroll means 2 books or scrolls.</t>
  </si>
  <si>
    <t>Synopsis:</t>
  </si>
  <si>
    <t>Build Price (lvl 1)</t>
  </si>
  <si>
    <t>Hitpoints</t>
  </si>
  <si>
    <t>Upkeep (lvl 1)</t>
  </si>
  <si>
    <t>Worker Pops</t>
  </si>
  <si>
    <t>ConstructionTime</t>
  </si>
  <si>
    <t>Build Price (Lvl 2)</t>
  </si>
  <si>
    <t>Upkeep (lvl 2)</t>
  </si>
  <si>
    <t>Build Price (Lvl 3)</t>
  </si>
  <si>
    <t>Upkeep (lvl 3)</t>
  </si>
  <si>
    <t>A place for pops to work for knowledge</t>
  </si>
  <si>
    <t>15Wood,5Food</t>
  </si>
  <si>
    <t>0.25Wood</t>
  </si>
  <si>
    <t>30Wood,5MortarPaste,3Tools,10Food,8Brick</t>
  </si>
  <si>
    <t>0.5Wood</t>
  </si>
  <si>
    <t>45Wood,10MortarPaste,10Tools,25Food,8Brick</t>
  </si>
  <si>
    <t>0.75Wood</t>
  </si>
  <si>
    <t>A place for pops to work to craft basic things</t>
  </si>
  <si>
    <t>6Wood,4Food</t>
  </si>
  <si>
    <t>20Wood,2Tools,3MortarPaste,8Food,5Brick</t>
  </si>
  <si>
    <t>35Wood,5Tools,8MortarPaste,15Food,10Brick</t>
  </si>
  <si>
    <t>A place for pops to work to gather raw resources</t>
  </si>
  <si>
    <t>9Wood,4Food</t>
  </si>
  <si>
    <t>25Wood,10Food,3Tools,8MortarPaste,5Brick</t>
  </si>
  <si>
    <t>0.5Tar,0.5Wood</t>
  </si>
  <si>
    <t>55Wood,20Food,15Tools,12MortarPaste,8Brick</t>
  </si>
  <si>
    <t>0.75Tar,0.75Wood</t>
  </si>
  <si>
    <t>A place for pops to harvest animals and animal materials</t>
  </si>
  <si>
    <t>6Wood,3Food</t>
  </si>
  <si>
    <t>20Wood,2MortarPaste,5Food,3Brick</t>
  </si>
  <si>
    <t>30Wood,4MortarPaste,8Food,4Brick,3Tools</t>
  </si>
  <si>
    <t>Allows pops to harvest fish efficiently, and make oil from fish</t>
  </si>
  <si>
    <t>11Wood,4Food</t>
  </si>
  <si>
    <t>25Wood,3MortarPaste,10Food,6Brick,1Tools</t>
  </si>
  <si>
    <t>35Wood,5MortarPaste,8Brick,15Food,5Tools</t>
  </si>
  <si>
    <t>Allows pops to farm plants, food, and plant material</t>
  </si>
  <si>
    <t>10Wood,3Food</t>
  </si>
  <si>
    <t>20Wood,2MortarPaste,5Food,3Brick,3Tools</t>
  </si>
  <si>
    <t>0.5Wood,0.5Fertilizer</t>
  </si>
  <si>
    <t>30Wood,8MortarPaste,8Food,5Brick,6Tools</t>
  </si>
  <si>
    <t>0.75Wood,0.75Fertilizer</t>
  </si>
  <si>
    <t>Allows pops to craft things from plant material</t>
  </si>
  <si>
    <t>13Wood,2Food</t>
  </si>
  <si>
    <t>25Wood,8Food,3MortarPaste,4Brick,3Tools</t>
  </si>
  <si>
    <t>35Wood,10Food,5MortarPaste,6Brick,7Tools</t>
  </si>
  <si>
    <t>Allows pops to efficiently farm for wood</t>
  </si>
  <si>
    <t>10Food</t>
  </si>
  <si>
    <t>0.25Food</t>
  </si>
  <si>
    <t>15Food,5Wood,2Tools</t>
  </si>
  <si>
    <t>0.5Food</t>
  </si>
  <si>
    <t>20Food,10Wood,8Tools</t>
  </si>
  <si>
    <t>0.75Food</t>
  </si>
  <si>
    <t>Allows pops to craft things using raw materials</t>
  </si>
  <si>
    <t>20Wood,5Food</t>
  </si>
  <si>
    <t>0.5Wood,0.25Coal</t>
  </si>
  <si>
    <t>30Wood,10Food,10Tools,5MortarPaste,10Brick</t>
  </si>
  <si>
    <t>0.5Wood,0.5Coal</t>
  </si>
  <si>
    <t>50Wood,25Food,15Tools,12MortarPaste,20Brick</t>
  </si>
  <si>
    <t>0.75Wood,1Coal</t>
  </si>
  <si>
    <t>Allows pops to make ships, and naval trade routes</t>
  </si>
  <si>
    <t>35Wood,10MortarPaste,10Tools,20Food,15Brick</t>
  </si>
  <si>
    <t>60Wood,15MortarPaste,20Tools,30Food,25Brick</t>
  </si>
  <si>
    <t>1.0Wood,0.25Food</t>
  </si>
  <si>
    <t>Allows pops to craft advanced metal items</t>
  </si>
  <si>
    <t>25Wood,12Food,8Tools,5MortarPaste,8Brick</t>
  </si>
  <si>
    <t>0.75Wood,0.5Coal</t>
  </si>
  <si>
    <t>35Wood,15Food,12Tools,10MortarPaste,15Brick</t>
  </si>
  <si>
    <t>1.0Wood,1.0Coal</t>
  </si>
  <si>
    <t>Allows pops to craft alcohols</t>
  </si>
  <si>
    <t>10Wood,4Food</t>
  </si>
  <si>
    <t>20Wood,2Tools,3MortarPaste,5Food,4Brick</t>
  </si>
  <si>
    <t>30Wood,5Tools,6MortarPaste,10Food,8Brick</t>
  </si>
  <si>
    <t>Allows pops to craft medicine</t>
  </si>
  <si>
    <t>20Wood,7Food</t>
  </si>
  <si>
    <t>0.5Wood,0.25Twine</t>
  </si>
  <si>
    <t>35Wood,10Food,4Tools,5MortarPaste,6Brick</t>
  </si>
  <si>
    <t>0.5Cloth,0.5Wood,0.5Twine</t>
  </si>
  <si>
    <t>45Wood,12Food,8Tools,10MortarPaste,12Brick</t>
  </si>
  <si>
    <t>0.75Cloth,0.75Wood,0.75Twine</t>
  </si>
  <si>
    <t>Provides homes for pops</t>
  </si>
  <si>
    <t>5Wood,5Food</t>
  </si>
  <si>
    <t>12Wood,10Food,2Tools,3MortarPaste,4Brick</t>
  </si>
  <si>
    <t>25Wood,15Food,5Tools,8MortarPaste,10Brick</t>
  </si>
  <si>
    <t>A display of wealth. Can be renamed to anything by the player and displays on the map.</t>
  </si>
  <si>
    <t>250Wood,100MortarPaste,200Brick,75Tools,100Food,25Ceramic,40Glass</t>
  </si>
  <si>
    <t>2Wood,1MortarPaste,0.5Brick,0.25Tools</t>
  </si>
  <si>
    <t>Increases the knowledge production of every pop in the province by 50% per level.</t>
  </si>
  <si>
    <t>30Wood,8Food,2Book*Scroll</t>
  </si>
  <si>
    <t>0.5Wood,0.5Food</t>
  </si>
  <si>
    <t>45Wood,5MortarPaste,5Tools,12Food,10Brick,5Glass</t>
  </si>
  <si>
    <t>1Wood,0.75Food</t>
  </si>
  <si>
    <t>65Wood,15MortarPaste,15Tools,15Food,20Brick,10Glass</t>
  </si>
  <si>
    <t>1.25Wood,1Food</t>
  </si>
  <si>
    <t>Fortifies Buildings</t>
  </si>
  <si>
    <t>Wood Wall</t>
  </si>
  <si>
    <t>45Wood,5Food</t>
  </si>
  <si>
    <t>55Wood,10Food,5MortarPaste,6Tools,5Brick</t>
  </si>
  <si>
    <t>60Wood,12Food,8MortarPaste,9Tools,10Brick</t>
  </si>
  <si>
    <t>25Brick,5Food</t>
  </si>
  <si>
    <t>0.25Brick</t>
  </si>
  <si>
    <t>30Brick,10MortarPaste,5Food,8Tools</t>
  </si>
  <si>
    <t>0.5Brick</t>
  </si>
  <si>
    <t>40Brick,15MortarPaste,10Wood,10Food,9Tools</t>
  </si>
  <si>
    <t>Allows you to garrison pops, giving them the defensive values of the fort</t>
  </si>
  <si>
    <t>25Wood,10Food</t>
  </si>
  <si>
    <t>35Wood,12MortarPaste,2Tools,15Brick,12Food</t>
  </si>
  <si>
    <t>50Wood,8MortarPaste,5Tools,15Brick,15Food</t>
  </si>
  <si>
    <t>Fog of war falls away 3 provinces away from a prov with a tower, instead of just 2</t>
  </si>
  <si>
    <t>30Wood,8Food</t>
  </si>
  <si>
    <t>40Wood,10Food,4MortarPaste,3Tools,8Brick,4Glass</t>
  </si>
  <si>
    <t>55Wood,15Food,8MortarPaste,6Tools,12Brick,7Glass</t>
  </si>
  <si>
    <t>Only one can be built. Allows pops to produce influence by working there.</t>
  </si>
  <si>
    <t>50Wood,20Food</t>
  </si>
  <si>
    <t>20Influence</t>
  </si>
  <si>
    <t>50Influence</t>
  </si>
  <si>
    <t>Allows pops to work here to produce influence.</t>
  </si>
  <si>
    <t>30Wood,20Food</t>
  </si>
  <si>
    <t>45Wood,15Food,3MortarPaste,5Brick,2Glass</t>
  </si>
  <si>
    <t>65Wood,25Food,5MortarPaste,10Brick,5Glass</t>
  </si>
  <si>
    <t>Allows you to leave a message for other players to read.</t>
  </si>
  <si>
    <t>20Limestone*20Clay*60Wood</t>
  </si>
  <si>
    <t>None</t>
  </si>
  <si>
    <t>Increases religion attraction rate to your religion in that province by 5% per level</t>
  </si>
  <si>
    <t>25Wood,10Food,5MortarPaste,6Brick,5Glass</t>
  </si>
  <si>
    <t>40Wood,20Food,10MortarPaste,18Brick,10Glass</t>
  </si>
  <si>
    <t>0.75WOod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</si>
</sst>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</fills>
  <borders count="21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double">
        <color rgb="FF000000"/>
      </left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2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3" fillId="0" fontId="3" numFmtId="0" xfId="0" applyBorder="1" applyFont="1"/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0" fillId="0" fontId="6" numFmtId="0" xfId="0" applyAlignment="1" applyFont="1">
      <alignment horizontal="right" vertical="bottom"/>
    </xf>
    <xf borderId="7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8" fillId="0" fontId="1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right" readingOrder="0"/>
    </xf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6" fillId="0" fontId="4" numFmtId="0" xfId="0" applyAlignment="1" applyBorder="1" applyFont="1">
      <alignment readingOrder="0" vertical="bottom"/>
    </xf>
    <xf borderId="17" fillId="0" fontId="4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19" fillId="0" fontId="6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8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6" numFmtId="0" xfId="0" applyAlignment="1" applyBorder="1" applyFont="1">
      <alignment vertical="bottom"/>
    </xf>
    <xf borderId="9" fillId="0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6" width="17.5"/>
    <col customWidth="1" min="7" max="7" width="13.0"/>
    <col customWidth="1" min="8" max="9" width="17.5"/>
  </cols>
  <sheetData>
    <row r="1">
      <c r="B1" s="1"/>
      <c r="C1" s="2" t="s">
        <v>0</v>
      </c>
      <c r="D1" s="3"/>
      <c r="E1" s="3"/>
      <c r="F1" s="3"/>
      <c r="G1" s="2" t="s">
        <v>1</v>
      </c>
      <c r="H1" s="3"/>
      <c r="I1" s="3"/>
      <c r="J1" s="3"/>
      <c r="K1" s="4" t="s">
        <v>2</v>
      </c>
      <c r="L1" s="3"/>
      <c r="M1" s="3"/>
      <c r="N1" s="3"/>
      <c r="S1" s="5"/>
      <c r="T1" s="5"/>
    </row>
    <row r="2">
      <c r="B2" s="1"/>
      <c r="C2" s="6"/>
      <c r="G2" s="6"/>
      <c r="S2" s="5"/>
      <c r="T2" s="5"/>
    </row>
    <row r="3">
      <c r="B3" s="5" t="s">
        <v>3</v>
      </c>
      <c r="C3" s="7" t="s">
        <v>4</v>
      </c>
      <c r="D3" s="8" t="s">
        <v>5</v>
      </c>
      <c r="E3" s="8" t="s">
        <v>6</v>
      </c>
      <c r="F3" s="9" t="s">
        <v>7</v>
      </c>
      <c r="G3" s="7" t="s">
        <v>4</v>
      </c>
      <c r="H3" s="8" t="s">
        <v>5</v>
      </c>
      <c r="I3" s="8" t="s">
        <v>6</v>
      </c>
      <c r="J3" s="9" t="s">
        <v>7</v>
      </c>
      <c r="K3" s="7" t="s">
        <v>4</v>
      </c>
      <c r="L3" s="8" t="s">
        <v>5</v>
      </c>
      <c r="M3" s="8" t="s">
        <v>6</v>
      </c>
      <c r="N3" s="10" t="s">
        <v>7</v>
      </c>
    </row>
    <row r="4">
      <c r="B4" s="11" t="s">
        <v>8</v>
      </c>
      <c r="C4" s="12">
        <v>2.0</v>
      </c>
      <c r="D4" s="13">
        <v>3.0</v>
      </c>
      <c r="E4" s="13">
        <v>4.0</v>
      </c>
      <c r="F4" s="1">
        <v>0.0</v>
      </c>
      <c r="G4" s="12">
        <f t="shared" ref="G4:I4" si="1">C4+1</f>
        <v>3</v>
      </c>
      <c r="H4" s="14">
        <f t="shared" si="1"/>
        <v>4</v>
      </c>
      <c r="I4" s="14">
        <f t="shared" si="1"/>
        <v>5</v>
      </c>
      <c r="J4" s="1">
        <v>0.0</v>
      </c>
      <c r="K4" s="12">
        <f t="shared" ref="K4:M4" si="2">G4+1</f>
        <v>4</v>
      </c>
      <c r="L4" s="14">
        <f t="shared" si="2"/>
        <v>5</v>
      </c>
      <c r="M4" s="14">
        <f t="shared" si="2"/>
        <v>6</v>
      </c>
      <c r="N4" s="15">
        <v>0.0</v>
      </c>
    </row>
    <row r="5">
      <c r="B5" s="11" t="s">
        <v>9</v>
      </c>
      <c r="C5" s="12">
        <v>2.0</v>
      </c>
      <c r="D5" s="13">
        <v>3.0</v>
      </c>
      <c r="E5" s="13">
        <v>4.0</v>
      </c>
      <c r="F5" s="1">
        <v>0.0</v>
      </c>
      <c r="G5" s="12">
        <f t="shared" ref="G5:I5" si="3">C5+1</f>
        <v>3</v>
      </c>
      <c r="H5" s="14">
        <f t="shared" si="3"/>
        <v>4</v>
      </c>
      <c r="I5" s="14">
        <f t="shared" si="3"/>
        <v>5</v>
      </c>
      <c r="J5" s="1">
        <v>0.0</v>
      </c>
      <c r="K5" s="12">
        <f t="shared" ref="K5:M5" si="4">G5+1</f>
        <v>4</v>
      </c>
      <c r="L5" s="14">
        <f t="shared" si="4"/>
        <v>5</v>
      </c>
      <c r="M5" s="14">
        <f t="shared" si="4"/>
        <v>6</v>
      </c>
      <c r="N5" s="15">
        <v>0.0</v>
      </c>
    </row>
    <row r="6">
      <c r="B6" s="11" t="s">
        <v>10</v>
      </c>
      <c r="C6" s="12">
        <v>2.0</v>
      </c>
      <c r="D6" s="13">
        <v>3.0</v>
      </c>
      <c r="E6" s="13">
        <v>4.0</v>
      </c>
      <c r="F6" s="1">
        <v>0.0</v>
      </c>
      <c r="G6" s="12">
        <f t="shared" ref="G6:I6" si="5">C6+1</f>
        <v>3</v>
      </c>
      <c r="H6" s="14">
        <f t="shared" si="5"/>
        <v>4</v>
      </c>
      <c r="I6" s="14">
        <f t="shared" si="5"/>
        <v>5</v>
      </c>
      <c r="J6" s="1">
        <v>0.0</v>
      </c>
      <c r="K6" s="12">
        <f t="shared" ref="K6:M6" si="6">G6+1</f>
        <v>4</v>
      </c>
      <c r="L6" s="14">
        <f t="shared" si="6"/>
        <v>5</v>
      </c>
      <c r="M6" s="14">
        <f t="shared" si="6"/>
        <v>6</v>
      </c>
      <c r="N6" s="15">
        <v>0.0</v>
      </c>
    </row>
    <row r="7">
      <c r="B7" s="11" t="s">
        <v>11</v>
      </c>
      <c r="C7" s="12">
        <v>2.0</v>
      </c>
      <c r="D7" s="13">
        <v>3.0</v>
      </c>
      <c r="E7" s="13">
        <v>4.0</v>
      </c>
      <c r="F7" s="1">
        <v>0.0</v>
      </c>
      <c r="G7" s="12">
        <f t="shared" ref="G7:I7" si="7">C7+1</f>
        <v>3</v>
      </c>
      <c r="H7" s="14">
        <f t="shared" si="7"/>
        <v>4</v>
      </c>
      <c r="I7" s="14">
        <f t="shared" si="7"/>
        <v>5</v>
      </c>
      <c r="J7" s="1">
        <v>0.0</v>
      </c>
      <c r="K7" s="12">
        <f t="shared" ref="K7:M7" si="8">G7+1</f>
        <v>4</v>
      </c>
      <c r="L7" s="14">
        <f t="shared" si="8"/>
        <v>5</v>
      </c>
      <c r="M7" s="14">
        <f t="shared" si="8"/>
        <v>6</v>
      </c>
      <c r="N7" s="15">
        <v>0.0</v>
      </c>
    </row>
    <row r="8">
      <c r="B8" s="11" t="s">
        <v>12</v>
      </c>
      <c r="C8" s="12">
        <v>2.0</v>
      </c>
      <c r="D8" s="13">
        <v>3.0</v>
      </c>
      <c r="E8" s="13">
        <v>4.0</v>
      </c>
      <c r="F8" s="1">
        <v>0.0</v>
      </c>
      <c r="G8" s="12">
        <f t="shared" ref="G8:I8" si="9">C8+1</f>
        <v>3</v>
      </c>
      <c r="H8" s="14">
        <f t="shared" si="9"/>
        <v>4</v>
      </c>
      <c r="I8" s="14">
        <f t="shared" si="9"/>
        <v>5</v>
      </c>
      <c r="J8" s="1">
        <v>0.0</v>
      </c>
      <c r="K8" s="12">
        <f t="shared" ref="K8:M8" si="10">G8+1</f>
        <v>4</v>
      </c>
      <c r="L8" s="14">
        <f t="shared" si="10"/>
        <v>5</v>
      </c>
      <c r="M8" s="14">
        <f t="shared" si="10"/>
        <v>6</v>
      </c>
      <c r="N8" s="15">
        <v>0.0</v>
      </c>
    </row>
    <row r="9">
      <c r="B9" s="11" t="s">
        <v>13</v>
      </c>
      <c r="C9" s="12">
        <v>2.0</v>
      </c>
      <c r="D9" s="13">
        <v>3.0</v>
      </c>
      <c r="E9" s="13">
        <v>4.0</v>
      </c>
      <c r="F9" s="1">
        <v>0.0</v>
      </c>
      <c r="G9" s="12">
        <f t="shared" ref="G9:I9" si="11">C9+1</f>
        <v>3</v>
      </c>
      <c r="H9" s="14">
        <f t="shared" si="11"/>
        <v>4</v>
      </c>
      <c r="I9" s="14">
        <f t="shared" si="11"/>
        <v>5</v>
      </c>
      <c r="J9" s="1">
        <v>0.0</v>
      </c>
      <c r="K9" s="12">
        <f t="shared" ref="K9:M9" si="12">G9+1</f>
        <v>4</v>
      </c>
      <c r="L9" s="14">
        <f t="shared" si="12"/>
        <v>5</v>
      </c>
      <c r="M9" s="14">
        <f t="shared" si="12"/>
        <v>6</v>
      </c>
      <c r="N9" s="15">
        <v>0.0</v>
      </c>
    </row>
    <row r="10">
      <c r="B10" s="11" t="s">
        <v>14</v>
      </c>
      <c r="C10" s="12">
        <v>2.0</v>
      </c>
      <c r="D10" s="13">
        <v>3.0</v>
      </c>
      <c r="E10" s="13">
        <v>4.0</v>
      </c>
      <c r="F10" s="1">
        <v>0.0</v>
      </c>
      <c r="G10" s="12">
        <f t="shared" ref="G10:I10" si="13">C10+1</f>
        <v>3</v>
      </c>
      <c r="H10" s="14">
        <f t="shared" si="13"/>
        <v>4</v>
      </c>
      <c r="I10" s="14">
        <f t="shared" si="13"/>
        <v>5</v>
      </c>
      <c r="J10" s="1">
        <v>0.0</v>
      </c>
      <c r="K10" s="12">
        <f t="shared" ref="K10:M10" si="14">G10+1</f>
        <v>4</v>
      </c>
      <c r="L10" s="14">
        <f t="shared" si="14"/>
        <v>5</v>
      </c>
      <c r="M10" s="14">
        <f t="shared" si="14"/>
        <v>6</v>
      </c>
      <c r="N10" s="15">
        <v>0.0</v>
      </c>
    </row>
    <row r="11">
      <c r="B11" s="11" t="s">
        <v>15</v>
      </c>
      <c r="C11" s="12">
        <v>2.0</v>
      </c>
      <c r="D11" s="13">
        <v>3.0</v>
      </c>
      <c r="E11" s="13">
        <v>4.0</v>
      </c>
      <c r="F11" s="1">
        <v>0.0</v>
      </c>
      <c r="G11" s="12">
        <f t="shared" ref="G11:I11" si="15">C11+1</f>
        <v>3</v>
      </c>
      <c r="H11" s="14">
        <f t="shared" si="15"/>
        <v>4</v>
      </c>
      <c r="I11" s="14">
        <f t="shared" si="15"/>
        <v>5</v>
      </c>
      <c r="J11" s="1">
        <v>0.0</v>
      </c>
      <c r="K11" s="12">
        <f t="shared" ref="K11:M11" si="16">G11+1</f>
        <v>4</v>
      </c>
      <c r="L11" s="14">
        <f t="shared" si="16"/>
        <v>5</v>
      </c>
      <c r="M11" s="14">
        <f t="shared" si="16"/>
        <v>6</v>
      </c>
      <c r="N11" s="15">
        <v>0.0</v>
      </c>
    </row>
    <row r="12">
      <c r="B12" s="11" t="s">
        <v>16</v>
      </c>
      <c r="C12" s="12">
        <v>2.0</v>
      </c>
      <c r="D12" s="13">
        <v>4.0</v>
      </c>
      <c r="E12" s="13">
        <v>4.0</v>
      </c>
      <c r="F12" s="1">
        <v>0.0</v>
      </c>
      <c r="G12" s="12">
        <f t="shared" ref="G12:I12" si="17">C12+1</f>
        <v>3</v>
      </c>
      <c r="H12" s="14">
        <f t="shared" si="17"/>
        <v>5</v>
      </c>
      <c r="I12" s="14">
        <f t="shared" si="17"/>
        <v>5</v>
      </c>
      <c r="J12" s="1">
        <v>0.0</v>
      </c>
      <c r="K12" s="12">
        <f t="shared" ref="K12:M12" si="18">G12+1</f>
        <v>4</v>
      </c>
      <c r="L12" s="14">
        <f t="shared" si="18"/>
        <v>6</v>
      </c>
      <c r="M12" s="14">
        <f t="shared" si="18"/>
        <v>6</v>
      </c>
      <c r="N12" s="15">
        <v>0.0</v>
      </c>
    </row>
    <row r="13">
      <c r="B13" s="11" t="s">
        <v>17</v>
      </c>
      <c r="C13" s="12">
        <v>2.0</v>
      </c>
      <c r="D13" s="13">
        <v>5.0</v>
      </c>
      <c r="E13" s="13">
        <v>4.0</v>
      </c>
      <c r="F13" s="1">
        <v>0.0</v>
      </c>
      <c r="G13" s="12">
        <f t="shared" ref="G13:I13" si="19">C13+1</f>
        <v>3</v>
      </c>
      <c r="H13" s="14">
        <f t="shared" si="19"/>
        <v>6</v>
      </c>
      <c r="I13" s="14">
        <f t="shared" si="19"/>
        <v>5</v>
      </c>
      <c r="J13" s="1">
        <v>0.0</v>
      </c>
      <c r="K13" s="12">
        <f t="shared" ref="K13:M13" si="20">G13+1</f>
        <v>4</v>
      </c>
      <c r="L13" s="14">
        <f t="shared" si="20"/>
        <v>7</v>
      </c>
      <c r="M13" s="14">
        <f t="shared" si="20"/>
        <v>6</v>
      </c>
      <c r="N13" s="15">
        <v>0.0</v>
      </c>
    </row>
    <row r="14">
      <c r="B14" s="11" t="s">
        <v>18</v>
      </c>
      <c r="C14" s="12">
        <v>2.0</v>
      </c>
      <c r="D14" s="13">
        <v>3.0</v>
      </c>
      <c r="E14" s="13">
        <v>4.0</v>
      </c>
      <c r="F14" s="1">
        <v>0.0</v>
      </c>
      <c r="G14" s="12">
        <f t="shared" ref="G14:I14" si="21">C14+1</f>
        <v>3</v>
      </c>
      <c r="H14" s="14">
        <f t="shared" si="21"/>
        <v>4</v>
      </c>
      <c r="I14" s="14">
        <f t="shared" si="21"/>
        <v>5</v>
      </c>
      <c r="J14" s="1">
        <v>0.0</v>
      </c>
      <c r="K14" s="12">
        <f t="shared" ref="K14:M14" si="22">G14+1</f>
        <v>4</v>
      </c>
      <c r="L14" s="14">
        <f t="shared" si="22"/>
        <v>5</v>
      </c>
      <c r="M14" s="14">
        <f t="shared" si="22"/>
        <v>6</v>
      </c>
      <c r="N14" s="15">
        <v>0.0</v>
      </c>
    </row>
    <row r="15">
      <c r="B15" s="11" t="s">
        <v>19</v>
      </c>
      <c r="C15" s="12">
        <v>2.0</v>
      </c>
      <c r="D15" s="13">
        <v>3.0</v>
      </c>
      <c r="E15" s="13">
        <v>4.0</v>
      </c>
      <c r="F15" s="1">
        <v>0.0</v>
      </c>
      <c r="G15" s="12">
        <f t="shared" ref="G15:I15" si="23">C15+1</f>
        <v>3</v>
      </c>
      <c r="H15" s="14">
        <f t="shared" si="23"/>
        <v>4</v>
      </c>
      <c r="I15" s="14">
        <f t="shared" si="23"/>
        <v>5</v>
      </c>
      <c r="J15" s="1">
        <v>0.0</v>
      </c>
      <c r="K15" s="12">
        <f t="shared" ref="K15:M15" si="24">G15+1</f>
        <v>4</v>
      </c>
      <c r="L15" s="14">
        <f t="shared" si="24"/>
        <v>5</v>
      </c>
      <c r="M15" s="14">
        <f t="shared" si="24"/>
        <v>6</v>
      </c>
      <c r="N15" s="15">
        <v>0.0</v>
      </c>
    </row>
    <row r="16">
      <c r="B16" s="11" t="s">
        <v>20</v>
      </c>
      <c r="C16" s="12">
        <v>2.0</v>
      </c>
      <c r="D16" s="13">
        <v>3.0</v>
      </c>
      <c r="E16" s="13">
        <v>4.0</v>
      </c>
      <c r="F16" s="1">
        <v>0.0</v>
      </c>
      <c r="G16" s="12">
        <f t="shared" ref="G16:I16" si="25">C16+1</f>
        <v>3</v>
      </c>
      <c r="H16" s="14">
        <f t="shared" si="25"/>
        <v>4</v>
      </c>
      <c r="I16" s="14">
        <f t="shared" si="25"/>
        <v>5</v>
      </c>
      <c r="J16" s="1">
        <v>0.0</v>
      </c>
      <c r="K16" s="12">
        <f t="shared" ref="K16:M16" si="26">G16+1</f>
        <v>4</v>
      </c>
      <c r="L16" s="14">
        <f t="shared" si="26"/>
        <v>5</v>
      </c>
      <c r="M16" s="14">
        <f t="shared" si="26"/>
        <v>6</v>
      </c>
      <c r="N16" s="15">
        <v>0.0</v>
      </c>
    </row>
    <row r="17">
      <c r="B17" s="11" t="s">
        <v>21</v>
      </c>
      <c r="C17" s="12">
        <v>2.0</v>
      </c>
      <c r="D17" s="13">
        <v>3.0</v>
      </c>
      <c r="E17" s="13">
        <v>4.0</v>
      </c>
      <c r="F17" s="1">
        <v>0.0</v>
      </c>
      <c r="G17" s="12">
        <f t="shared" ref="G17:I17" si="27">C17+1</f>
        <v>3</v>
      </c>
      <c r="H17" s="14">
        <f t="shared" si="27"/>
        <v>4</v>
      </c>
      <c r="I17" s="14">
        <f t="shared" si="27"/>
        <v>5</v>
      </c>
      <c r="J17" s="1">
        <v>0.0</v>
      </c>
      <c r="K17" s="12">
        <f t="shared" ref="K17:M17" si="28">G17+1</f>
        <v>4</v>
      </c>
      <c r="L17" s="14">
        <f t="shared" si="28"/>
        <v>5</v>
      </c>
      <c r="M17" s="14">
        <f t="shared" si="28"/>
        <v>6</v>
      </c>
      <c r="N17" s="15">
        <v>0.0</v>
      </c>
    </row>
    <row r="18">
      <c r="B18" s="11" t="s">
        <v>22</v>
      </c>
      <c r="C18" s="12">
        <v>4.0</v>
      </c>
      <c r="D18" s="13">
        <v>6.0</v>
      </c>
      <c r="E18" s="13">
        <v>7.0</v>
      </c>
      <c r="F18" s="1">
        <v>0.0</v>
      </c>
      <c r="G18" s="12" t="s">
        <v>23</v>
      </c>
      <c r="H18" s="13" t="s">
        <v>24</v>
      </c>
      <c r="I18" s="13" t="s">
        <v>24</v>
      </c>
      <c r="J18" s="13" t="s">
        <v>24</v>
      </c>
      <c r="K18" s="12" t="s">
        <v>23</v>
      </c>
      <c r="L18" s="13" t="s">
        <v>24</v>
      </c>
      <c r="M18" s="13" t="s">
        <v>24</v>
      </c>
      <c r="N18" s="16" t="s">
        <v>24</v>
      </c>
    </row>
    <row r="19">
      <c r="B19" s="11" t="s">
        <v>25</v>
      </c>
      <c r="C19" s="12">
        <v>2.0</v>
      </c>
      <c r="D19" s="13">
        <v>5.0</v>
      </c>
      <c r="E19" s="13">
        <v>5.0</v>
      </c>
      <c r="F19" s="1">
        <v>0.0</v>
      </c>
      <c r="G19" s="12">
        <f t="shared" ref="G19:I19" si="29">C19+1</f>
        <v>3</v>
      </c>
      <c r="H19" s="14">
        <f t="shared" si="29"/>
        <v>6</v>
      </c>
      <c r="I19" s="14">
        <f t="shared" si="29"/>
        <v>6</v>
      </c>
      <c r="J19" s="1">
        <v>0.0</v>
      </c>
      <c r="K19" s="12">
        <f t="shared" ref="K19:M19" si="30">G19+1</f>
        <v>4</v>
      </c>
      <c r="L19" s="14">
        <f t="shared" si="30"/>
        <v>7</v>
      </c>
      <c r="M19" s="14">
        <f t="shared" si="30"/>
        <v>7</v>
      </c>
      <c r="N19" s="15">
        <v>0.0</v>
      </c>
    </row>
    <row r="20">
      <c r="B20" s="17" t="s">
        <v>26</v>
      </c>
      <c r="C20" s="18">
        <v>3.0</v>
      </c>
      <c r="D20" s="14">
        <v>5.0</v>
      </c>
      <c r="E20" s="13">
        <v>5.0</v>
      </c>
      <c r="F20" s="1">
        <v>1.0</v>
      </c>
      <c r="G20" s="12">
        <f t="shared" ref="G20:I20" si="31">C20+1</f>
        <v>4</v>
      </c>
      <c r="H20" s="14">
        <f t="shared" si="31"/>
        <v>6</v>
      </c>
      <c r="I20" s="14">
        <f t="shared" si="31"/>
        <v>6</v>
      </c>
      <c r="J20" s="1">
        <v>2.0</v>
      </c>
      <c r="K20" s="12">
        <f t="shared" ref="K20:M20" si="32">G20+1</f>
        <v>5</v>
      </c>
      <c r="L20" s="14">
        <f t="shared" si="32"/>
        <v>7</v>
      </c>
      <c r="M20" s="14">
        <f t="shared" si="32"/>
        <v>7</v>
      </c>
      <c r="N20" s="15">
        <v>3.0</v>
      </c>
    </row>
    <row r="21">
      <c r="B21" s="17" t="s">
        <v>27</v>
      </c>
      <c r="C21" s="18">
        <v>3.0</v>
      </c>
      <c r="D21" s="13">
        <v>4.0</v>
      </c>
      <c r="E21" s="13">
        <v>7.0</v>
      </c>
      <c r="F21" s="1">
        <v>0.0</v>
      </c>
      <c r="G21" s="12">
        <f t="shared" ref="G21:I21" si="33">C21+1.5</f>
        <v>4.5</v>
      </c>
      <c r="H21" s="14">
        <f t="shared" si="33"/>
        <v>5.5</v>
      </c>
      <c r="I21" s="14">
        <f t="shared" si="33"/>
        <v>8.5</v>
      </c>
      <c r="J21" s="1">
        <v>0.0</v>
      </c>
      <c r="K21" s="12">
        <f t="shared" ref="K21:M21" si="34">G21+1.5</f>
        <v>6</v>
      </c>
      <c r="L21" s="14">
        <f t="shared" si="34"/>
        <v>7</v>
      </c>
      <c r="M21" s="14">
        <f t="shared" si="34"/>
        <v>10</v>
      </c>
      <c r="N21" s="15">
        <v>0.0</v>
      </c>
    </row>
    <row r="22">
      <c r="B22" s="17" t="s">
        <v>28</v>
      </c>
      <c r="C22" s="18">
        <v>4.0</v>
      </c>
      <c r="D22" s="1">
        <v>5.0</v>
      </c>
      <c r="E22" s="1">
        <v>8.0</v>
      </c>
      <c r="F22" s="1">
        <v>0.0</v>
      </c>
      <c r="G22" s="12">
        <f t="shared" ref="G22:I22" si="35">C22+2.5</f>
        <v>6.5</v>
      </c>
      <c r="H22" s="14">
        <f t="shared" si="35"/>
        <v>7.5</v>
      </c>
      <c r="I22" s="14">
        <f t="shared" si="35"/>
        <v>10.5</v>
      </c>
      <c r="J22" s="1">
        <v>0.0</v>
      </c>
      <c r="K22" s="12">
        <f t="shared" ref="K22:M22" si="36">G22+3.5</f>
        <v>10</v>
      </c>
      <c r="L22" s="14">
        <f t="shared" si="36"/>
        <v>11</v>
      </c>
      <c r="M22" s="14">
        <f t="shared" si="36"/>
        <v>14</v>
      </c>
      <c r="N22" s="15">
        <v>0.0</v>
      </c>
    </row>
    <row r="23">
      <c r="B23" s="17" t="s">
        <v>29</v>
      </c>
      <c r="C23" s="18">
        <v>4.0</v>
      </c>
      <c r="D23" s="1">
        <v>6.0</v>
      </c>
      <c r="E23" s="1">
        <v>9.0</v>
      </c>
      <c r="F23" s="1">
        <v>3.0</v>
      </c>
      <c r="G23" s="12">
        <f t="shared" ref="G23:I23" si="37">C23+3</f>
        <v>7</v>
      </c>
      <c r="H23" s="14">
        <f t="shared" si="37"/>
        <v>9</v>
      </c>
      <c r="I23" s="14">
        <f t="shared" si="37"/>
        <v>12</v>
      </c>
      <c r="J23" s="19">
        <f>F23+2</f>
        <v>5</v>
      </c>
      <c r="K23" s="12">
        <f t="shared" ref="K23:M23" si="38">G23+3</f>
        <v>10</v>
      </c>
      <c r="L23" s="14">
        <f t="shared" si="38"/>
        <v>12</v>
      </c>
      <c r="M23" s="14">
        <f t="shared" si="38"/>
        <v>15</v>
      </c>
      <c r="N23" s="15">
        <v>7.0</v>
      </c>
    </row>
    <row r="24">
      <c r="B24" s="17" t="s">
        <v>30</v>
      </c>
      <c r="C24" s="18">
        <v>2.0</v>
      </c>
      <c r="D24" s="1">
        <v>5.0</v>
      </c>
      <c r="E24" s="1">
        <v>5.0</v>
      </c>
      <c r="F24" s="1">
        <v>1.0</v>
      </c>
      <c r="G24" s="20">
        <f>C24+1</f>
        <v>3</v>
      </c>
      <c r="H24" s="19">
        <f>D24</f>
        <v>5</v>
      </c>
      <c r="I24" s="19">
        <f>E24+1</f>
        <v>6</v>
      </c>
      <c r="J24" s="19">
        <f>F24</f>
        <v>1</v>
      </c>
      <c r="K24" s="20">
        <f t="shared" ref="K24:L24" si="39">G24+1</f>
        <v>4</v>
      </c>
      <c r="L24" s="19">
        <f t="shared" si="39"/>
        <v>6</v>
      </c>
      <c r="M24" s="19">
        <f>I24</f>
        <v>6</v>
      </c>
      <c r="N24" s="21">
        <f>J24+1</f>
        <v>2</v>
      </c>
    </row>
    <row r="25">
      <c r="B25" s="17" t="s">
        <v>31</v>
      </c>
      <c r="C25" s="18">
        <v>3.0</v>
      </c>
      <c r="D25" s="1">
        <v>6.0</v>
      </c>
      <c r="E25" s="1">
        <v>7.0</v>
      </c>
      <c r="F25" s="1">
        <v>0.0</v>
      </c>
      <c r="G25" s="12" t="s">
        <v>32</v>
      </c>
      <c r="H25" s="13" t="s">
        <v>24</v>
      </c>
      <c r="I25" s="13" t="s">
        <v>24</v>
      </c>
      <c r="J25" s="13" t="s">
        <v>24</v>
      </c>
      <c r="K25" s="12" t="s">
        <v>32</v>
      </c>
      <c r="L25" s="13" t="s">
        <v>24</v>
      </c>
      <c r="M25" s="13" t="s">
        <v>24</v>
      </c>
      <c r="N25" s="16" t="s">
        <v>24</v>
      </c>
    </row>
    <row r="26">
      <c r="B26" s="17" t="s">
        <v>33</v>
      </c>
      <c r="C26" s="18">
        <v>2.0</v>
      </c>
      <c r="D26" s="1">
        <v>6.0</v>
      </c>
      <c r="E26" s="1">
        <v>6.0</v>
      </c>
      <c r="F26" s="1">
        <v>0.0</v>
      </c>
      <c r="G26" s="20">
        <f t="shared" ref="G26:I26" si="40">C26+1</f>
        <v>3</v>
      </c>
      <c r="H26" s="19">
        <f t="shared" si="40"/>
        <v>7</v>
      </c>
      <c r="I26" s="19">
        <f t="shared" si="40"/>
        <v>7</v>
      </c>
      <c r="J26" s="1">
        <v>0.0</v>
      </c>
      <c r="K26" s="20">
        <f t="shared" ref="K26:M26" si="41">G26+1</f>
        <v>4</v>
      </c>
      <c r="L26" s="19">
        <f t="shared" si="41"/>
        <v>8</v>
      </c>
      <c r="M26" s="19">
        <f t="shared" si="41"/>
        <v>8</v>
      </c>
      <c r="N26" s="15">
        <v>0.0</v>
      </c>
    </row>
    <row r="27">
      <c r="B27" s="17" t="s">
        <v>34</v>
      </c>
      <c r="C27" s="22">
        <v>2.0</v>
      </c>
      <c r="D27" s="23">
        <v>6.0</v>
      </c>
      <c r="E27" s="23">
        <v>6.0</v>
      </c>
      <c r="F27" s="23">
        <v>2.0</v>
      </c>
      <c r="G27" s="24">
        <f t="shared" ref="G27:I27" si="42">C27+1</f>
        <v>3</v>
      </c>
      <c r="H27" s="25">
        <f t="shared" si="42"/>
        <v>7</v>
      </c>
      <c r="I27" s="25">
        <f t="shared" si="42"/>
        <v>7</v>
      </c>
      <c r="J27" s="23">
        <v>3.0</v>
      </c>
      <c r="K27" s="24">
        <f t="shared" ref="K27:M27" si="43">G27+1</f>
        <v>4</v>
      </c>
      <c r="L27" s="25">
        <f t="shared" si="43"/>
        <v>8</v>
      </c>
      <c r="M27" s="25">
        <f t="shared" si="43"/>
        <v>8</v>
      </c>
      <c r="N27" s="26">
        <v>4.0</v>
      </c>
    </row>
    <row r="29">
      <c r="B29" s="27"/>
      <c r="C29" s="27" t="s">
        <v>35</v>
      </c>
      <c r="D29" s="27"/>
      <c r="E29" s="27"/>
      <c r="F29" s="27"/>
      <c r="G29" s="27"/>
      <c r="H29" s="27"/>
      <c r="I29" s="27"/>
      <c r="J29" s="28"/>
      <c r="K29" s="27"/>
      <c r="L29" s="27"/>
      <c r="M29" s="27"/>
      <c r="N29" s="27"/>
      <c r="O29" s="27"/>
      <c r="P29" s="28"/>
      <c r="Q29" s="27"/>
      <c r="R29" s="27"/>
      <c r="S29" s="27"/>
      <c r="T29" s="27"/>
      <c r="U29" s="27"/>
    </row>
    <row r="30">
      <c r="B30" s="27" t="s">
        <v>36</v>
      </c>
      <c r="C30" s="27"/>
      <c r="D30" s="29" t="s">
        <v>37</v>
      </c>
      <c r="E30" s="30" t="s">
        <v>38</v>
      </c>
      <c r="F30" s="30" t="s">
        <v>39</v>
      </c>
      <c r="G30" s="31" t="s">
        <v>40</v>
      </c>
      <c r="H30" s="31" t="s">
        <v>41</v>
      </c>
      <c r="I30" s="32" t="s">
        <v>21</v>
      </c>
      <c r="J30" s="33" t="s">
        <v>42</v>
      </c>
      <c r="K30" s="31" t="s">
        <v>38</v>
      </c>
      <c r="L30" s="31" t="s">
        <v>43</v>
      </c>
      <c r="M30" s="31" t="s">
        <v>40</v>
      </c>
      <c r="N30" s="31" t="s">
        <v>41</v>
      </c>
      <c r="O30" s="32" t="s">
        <v>21</v>
      </c>
      <c r="P30" s="33" t="s">
        <v>44</v>
      </c>
      <c r="Q30" s="31" t="s">
        <v>38</v>
      </c>
      <c r="R30" s="31" t="s">
        <v>45</v>
      </c>
      <c r="S30" s="31" t="s">
        <v>40</v>
      </c>
      <c r="T30" s="31" t="s">
        <v>41</v>
      </c>
      <c r="U30" s="34" t="s">
        <v>21</v>
      </c>
    </row>
    <row r="31">
      <c r="B31" s="27" t="s">
        <v>46</v>
      </c>
      <c r="C31" s="27" t="s">
        <v>8</v>
      </c>
      <c r="D31" s="35" t="s">
        <v>47</v>
      </c>
      <c r="E31" s="27">
        <v>35.0</v>
      </c>
      <c r="F31" s="27" t="s">
        <v>48</v>
      </c>
      <c r="G31" s="27">
        <v>2.0</v>
      </c>
      <c r="H31" s="27">
        <v>1.0</v>
      </c>
      <c r="I31" s="36">
        <v>0.0</v>
      </c>
      <c r="J31" s="28" t="s">
        <v>49</v>
      </c>
      <c r="K31" s="27">
        <v>40.0</v>
      </c>
      <c r="L31" s="27" t="s">
        <v>50</v>
      </c>
      <c r="M31" s="27">
        <v>2.0</v>
      </c>
      <c r="N31" s="27">
        <v>1.0</v>
      </c>
      <c r="O31" s="36">
        <v>0.0</v>
      </c>
      <c r="P31" s="28" t="s">
        <v>51</v>
      </c>
      <c r="Q31" s="27">
        <v>45.0</v>
      </c>
      <c r="R31" s="27" t="s">
        <v>52</v>
      </c>
      <c r="S31" s="27">
        <v>3.0</v>
      </c>
      <c r="T31" s="27">
        <v>1.0</v>
      </c>
      <c r="U31" s="37">
        <v>0.0</v>
      </c>
    </row>
    <row r="32">
      <c r="B32" s="27" t="s">
        <v>53</v>
      </c>
      <c r="C32" s="27" t="s">
        <v>9</v>
      </c>
      <c r="D32" s="35" t="s">
        <v>54</v>
      </c>
      <c r="E32" s="27">
        <v>20.0</v>
      </c>
      <c r="F32" s="27" t="s">
        <v>48</v>
      </c>
      <c r="G32" s="27">
        <v>2.0</v>
      </c>
      <c r="H32" s="27">
        <v>1.0</v>
      </c>
      <c r="I32" s="27">
        <v>0.0</v>
      </c>
      <c r="J32" s="28" t="s">
        <v>55</v>
      </c>
      <c r="K32" s="27">
        <v>25.0</v>
      </c>
      <c r="L32" s="27" t="s">
        <v>50</v>
      </c>
      <c r="M32" s="27">
        <v>2.0</v>
      </c>
      <c r="N32" s="27">
        <v>1.0</v>
      </c>
      <c r="O32" s="27">
        <v>0.0</v>
      </c>
      <c r="P32" s="28" t="s">
        <v>56</v>
      </c>
      <c r="Q32" s="27">
        <v>30.0</v>
      </c>
      <c r="R32" s="27" t="s">
        <v>52</v>
      </c>
      <c r="S32" s="27">
        <v>3.0</v>
      </c>
      <c r="T32" s="27">
        <v>1.0</v>
      </c>
      <c r="U32" s="38">
        <v>0.0</v>
      </c>
    </row>
    <row r="33">
      <c r="B33" s="27" t="s">
        <v>57</v>
      </c>
      <c r="C33" s="27" t="s">
        <v>10</v>
      </c>
      <c r="D33" s="35" t="s">
        <v>58</v>
      </c>
      <c r="E33" s="27">
        <v>15.0</v>
      </c>
      <c r="F33" s="27" t="s">
        <v>50</v>
      </c>
      <c r="G33" s="27">
        <v>2.0</v>
      </c>
      <c r="H33" s="27">
        <v>1.0</v>
      </c>
      <c r="I33" s="27">
        <v>0.0</v>
      </c>
      <c r="J33" s="28" t="s">
        <v>59</v>
      </c>
      <c r="K33" s="27">
        <v>25.0</v>
      </c>
      <c r="L33" s="27" t="s">
        <v>60</v>
      </c>
      <c r="M33" s="27">
        <v>2.0</v>
      </c>
      <c r="N33" s="27">
        <v>1.0</v>
      </c>
      <c r="O33" s="27">
        <v>0.0</v>
      </c>
      <c r="P33" s="28" t="s">
        <v>61</v>
      </c>
      <c r="Q33" s="27">
        <v>35.0</v>
      </c>
      <c r="R33" s="27" t="s">
        <v>62</v>
      </c>
      <c r="S33" s="27">
        <v>3.0</v>
      </c>
      <c r="T33" s="27">
        <v>1.0</v>
      </c>
      <c r="U33" s="38">
        <v>0.0</v>
      </c>
    </row>
    <row r="34">
      <c r="B34" s="27" t="s">
        <v>63</v>
      </c>
      <c r="C34" s="27" t="s">
        <v>11</v>
      </c>
      <c r="D34" s="35" t="s">
        <v>64</v>
      </c>
      <c r="E34" s="27">
        <v>10.0</v>
      </c>
      <c r="F34" s="27" t="s">
        <v>48</v>
      </c>
      <c r="G34" s="27">
        <v>2.0</v>
      </c>
      <c r="H34" s="27">
        <v>1.0</v>
      </c>
      <c r="I34" s="27">
        <v>0.0</v>
      </c>
      <c r="J34" s="28" t="s">
        <v>65</v>
      </c>
      <c r="K34" s="27">
        <v>15.0</v>
      </c>
      <c r="L34" s="27" t="s">
        <v>50</v>
      </c>
      <c r="M34" s="27">
        <v>2.0</v>
      </c>
      <c r="N34" s="27">
        <v>1.0</v>
      </c>
      <c r="O34" s="27">
        <v>0.0</v>
      </c>
      <c r="P34" s="28" t="s">
        <v>66</v>
      </c>
      <c r="Q34" s="27">
        <v>20.0</v>
      </c>
      <c r="R34" s="27" t="s">
        <v>52</v>
      </c>
      <c r="S34" s="27">
        <v>3.0</v>
      </c>
      <c r="T34" s="27">
        <v>1.0</v>
      </c>
      <c r="U34" s="38">
        <v>0.0</v>
      </c>
    </row>
    <row r="35">
      <c r="B35" s="27" t="s">
        <v>67</v>
      </c>
      <c r="C35" s="27" t="s">
        <v>12</v>
      </c>
      <c r="D35" s="35" t="s">
        <v>68</v>
      </c>
      <c r="E35" s="27">
        <v>20.0</v>
      </c>
      <c r="F35" s="27" t="s">
        <v>48</v>
      </c>
      <c r="G35" s="27">
        <v>2.0</v>
      </c>
      <c r="H35" s="27">
        <v>1.0</v>
      </c>
      <c r="I35" s="27">
        <v>0.0</v>
      </c>
      <c r="J35" s="28" t="s">
        <v>69</v>
      </c>
      <c r="K35" s="27">
        <v>30.0</v>
      </c>
      <c r="L35" s="27" t="s">
        <v>50</v>
      </c>
      <c r="M35" s="27">
        <v>2.0</v>
      </c>
      <c r="N35" s="27">
        <v>1.0</v>
      </c>
      <c r="O35" s="27">
        <v>0.0</v>
      </c>
      <c r="P35" s="28" t="s">
        <v>70</v>
      </c>
      <c r="Q35" s="27">
        <v>40.0</v>
      </c>
      <c r="R35" s="27" t="s">
        <v>52</v>
      </c>
      <c r="S35" s="27">
        <v>3.0</v>
      </c>
      <c r="T35" s="27">
        <v>1.0</v>
      </c>
      <c r="U35" s="38">
        <v>0.0</v>
      </c>
    </row>
    <row r="36">
      <c r="B36" s="27" t="s">
        <v>71</v>
      </c>
      <c r="C36" s="27" t="s">
        <v>13</v>
      </c>
      <c r="D36" s="35" t="s">
        <v>72</v>
      </c>
      <c r="E36" s="27">
        <v>10.0</v>
      </c>
      <c r="F36" s="27" t="s">
        <v>48</v>
      </c>
      <c r="G36" s="27">
        <v>2.0</v>
      </c>
      <c r="H36" s="27">
        <v>1.0</v>
      </c>
      <c r="I36" s="27">
        <v>0.0</v>
      </c>
      <c r="J36" s="28" t="s">
        <v>73</v>
      </c>
      <c r="K36" s="27">
        <v>15.0</v>
      </c>
      <c r="L36" s="27" t="s">
        <v>74</v>
      </c>
      <c r="M36" s="27">
        <v>2.0</v>
      </c>
      <c r="N36" s="27">
        <v>1.0</v>
      </c>
      <c r="O36" s="27">
        <v>0.0</v>
      </c>
      <c r="P36" s="28" t="s">
        <v>75</v>
      </c>
      <c r="Q36" s="27">
        <v>35.0</v>
      </c>
      <c r="R36" s="27" t="s">
        <v>76</v>
      </c>
      <c r="S36" s="27">
        <v>3.0</v>
      </c>
      <c r="T36" s="27">
        <v>1.0</v>
      </c>
      <c r="U36" s="38">
        <v>0.0</v>
      </c>
    </row>
    <row r="37">
      <c r="B37" s="27" t="s">
        <v>77</v>
      </c>
      <c r="C37" s="27" t="s">
        <v>14</v>
      </c>
      <c r="D37" s="35" t="s">
        <v>78</v>
      </c>
      <c r="E37" s="27">
        <v>15.0</v>
      </c>
      <c r="F37" s="27" t="s">
        <v>48</v>
      </c>
      <c r="G37" s="27">
        <v>2.0</v>
      </c>
      <c r="H37" s="27">
        <v>1.0</v>
      </c>
      <c r="I37" s="27">
        <v>0.0</v>
      </c>
      <c r="J37" s="28" t="s">
        <v>79</v>
      </c>
      <c r="K37" s="27">
        <v>20.0</v>
      </c>
      <c r="L37" s="27" t="s">
        <v>50</v>
      </c>
      <c r="M37" s="27">
        <v>2.0</v>
      </c>
      <c r="N37" s="27">
        <v>1.0</v>
      </c>
      <c r="O37" s="27">
        <v>0.0</v>
      </c>
      <c r="P37" s="28" t="s">
        <v>80</v>
      </c>
      <c r="Q37" s="27">
        <v>30.0</v>
      </c>
      <c r="R37" s="27" t="s">
        <v>52</v>
      </c>
      <c r="S37" s="27">
        <v>3.0</v>
      </c>
      <c r="T37" s="27">
        <v>1.0</v>
      </c>
      <c r="U37" s="38">
        <v>0.0</v>
      </c>
    </row>
    <row r="38">
      <c r="B38" s="27" t="s">
        <v>81</v>
      </c>
      <c r="C38" s="27" t="s">
        <v>15</v>
      </c>
      <c r="D38" s="35" t="s">
        <v>82</v>
      </c>
      <c r="E38" s="27">
        <v>10.0</v>
      </c>
      <c r="F38" s="27" t="s">
        <v>83</v>
      </c>
      <c r="G38" s="27">
        <v>2.0</v>
      </c>
      <c r="H38" s="27">
        <v>1.0</v>
      </c>
      <c r="I38" s="27">
        <v>0.0</v>
      </c>
      <c r="J38" s="28" t="s">
        <v>84</v>
      </c>
      <c r="K38" s="27">
        <v>15.0</v>
      </c>
      <c r="L38" s="27" t="s">
        <v>85</v>
      </c>
      <c r="M38" s="27">
        <v>3.0</v>
      </c>
      <c r="N38" s="27">
        <v>1.0</v>
      </c>
      <c r="O38" s="27">
        <v>0.0</v>
      </c>
      <c r="P38" s="28" t="s">
        <v>86</v>
      </c>
      <c r="Q38" s="27">
        <v>20.0</v>
      </c>
      <c r="R38" s="27" t="s">
        <v>87</v>
      </c>
      <c r="S38" s="27">
        <v>4.0</v>
      </c>
      <c r="T38" s="27">
        <v>1.0</v>
      </c>
      <c r="U38" s="38">
        <v>0.0</v>
      </c>
    </row>
    <row r="39">
      <c r="B39" s="27" t="s">
        <v>88</v>
      </c>
      <c r="C39" s="27" t="s">
        <v>16</v>
      </c>
      <c r="D39" s="35" t="s">
        <v>89</v>
      </c>
      <c r="E39" s="27">
        <v>20.0</v>
      </c>
      <c r="F39" s="27" t="s">
        <v>90</v>
      </c>
      <c r="G39" s="27">
        <v>2.0</v>
      </c>
      <c r="H39" s="27">
        <v>1.0</v>
      </c>
      <c r="I39" s="27">
        <v>0.0</v>
      </c>
      <c r="J39" s="28" t="s">
        <v>91</v>
      </c>
      <c r="K39" s="27">
        <v>30.0</v>
      </c>
      <c r="L39" s="27" t="s">
        <v>92</v>
      </c>
      <c r="M39" s="27">
        <v>2.0</v>
      </c>
      <c r="N39" s="27">
        <v>1.0</v>
      </c>
      <c r="O39" s="27">
        <v>0.0</v>
      </c>
      <c r="P39" s="28" t="s">
        <v>93</v>
      </c>
      <c r="Q39" s="27">
        <v>40.0</v>
      </c>
      <c r="R39" s="27" t="s">
        <v>94</v>
      </c>
      <c r="S39" s="27">
        <v>3.0</v>
      </c>
      <c r="T39" s="27">
        <v>1.0</v>
      </c>
      <c r="U39" s="38">
        <v>0.0</v>
      </c>
    </row>
    <row r="40">
      <c r="B40" s="27" t="s">
        <v>95</v>
      </c>
      <c r="C40" s="27" t="s">
        <v>17</v>
      </c>
      <c r="D40" s="35" t="s">
        <v>89</v>
      </c>
      <c r="E40" s="27">
        <v>20.0</v>
      </c>
      <c r="F40" s="27" t="s">
        <v>50</v>
      </c>
      <c r="G40" s="27">
        <v>1.0</v>
      </c>
      <c r="H40" s="27">
        <v>1.0</v>
      </c>
      <c r="I40" s="27">
        <v>0.0</v>
      </c>
      <c r="J40" s="35" t="s">
        <v>96</v>
      </c>
      <c r="K40" s="27">
        <v>35.0</v>
      </c>
      <c r="L40" s="27" t="s">
        <v>52</v>
      </c>
      <c r="M40" s="27">
        <v>2.0</v>
      </c>
      <c r="N40" s="27">
        <v>1.0</v>
      </c>
      <c r="O40" s="27">
        <v>0.0</v>
      </c>
      <c r="P40" s="35" t="s">
        <v>97</v>
      </c>
      <c r="Q40" s="27">
        <v>50.0</v>
      </c>
      <c r="R40" s="27" t="s">
        <v>98</v>
      </c>
      <c r="S40" s="27">
        <v>3.0</v>
      </c>
      <c r="T40" s="27">
        <v>1.0</v>
      </c>
      <c r="U40" s="38">
        <v>0.0</v>
      </c>
    </row>
    <row r="41">
      <c r="B41" s="27" t="s">
        <v>99</v>
      </c>
      <c r="C41" s="27" t="s">
        <v>18</v>
      </c>
      <c r="D41" s="35" t="s">
        <v>89</v>
      </c>
      <c r="E41" s="27">
        <v>20.0</v>
      </c>
      <c r="F41" s="27" t="s">
        <v>90</v>
      </c>
      <c r="G41" s="27">
        <v>1.0</v>
      </c>
      <c r="H41" s="27">
        <v>1.0</v>
      </c>
      <c r="I41" s="27">
        <v>0.0</v>
      </c>
      <c r="J41" s="28" t="s">
        <v>100</v>
      </c>
      <c r="K41" s="27">
        <v>25.0</v>
      </c>
      <c r="L41" s="27" t="s">
        <v>101</v>
      </c>
      <c r="M41" s="27">
        <v>2.0</v>
      </c>
      <c r="N41" s="27">
        <v>1.0</v>
      </c>
      <c r="O41" s="27">
        <v>0.0</v>
      </c>
      <c r="P41" s="28" t="s">
        <v>102</v>
      </c>
      <c r="Q41" s="27">
        <v>35.0</v>
      </c>
      <c r="R41" s="27" t="s">
        <v>103</v>
      </c>
      <c r="S41" s="27">
        <v>2.0</v>
      </c>
      <c r="T41" s="27">
        <v>1.0</v>
      </c>
      <c r="U41" s="38">
        <v>0.0</v>
      </c>
    </row>
    <row r="42">
      <c r="B42" s="27" t="s">
        <v>104</v>
      </c>
      <c r="C42" s="27" t="s">
        <v>19</v>
      </c>
      <c r="D42" s="35" t="s">
        <v>105</v>
      </c>
      <c r="E42" s="27">
        <v>15.0</v>
      </c>
      <c r="F42" s="27" t="s">
        <v>48</v>
      </c>
      <c r="G42" s="27">
        <v>2.0</v>
      </c>
      <c r="H42" s="27">
        <v>1.0</v>
      </c>
      <c r="I42" s="27">
        <v>0.0</v>
      </c>
      <c r="J42" s="28" t="s">
        <v>106</v>
      </c>
      <c r="K42" s="27">
        <v>25.0</v>
      </c>
      <c r="L42" s="27" t="s">
        <v>50</v>
      </c>
      <c r="M42" s="27">
        <v>2.0</v>
      </c>
      <c r="N42" s="27">
        <v>1.0</v>
      </c>
      <c r="O42" s="27">
        <v>0.0</v>
      </c>
      <c r="P42" s="28" t="s">
        <v>107</v>
      </c>
      <c r="Q42" s="27">
        <v>30.0</v>
      </c>
      <c r="R42" s="27" t="s">
        <v>52</v>
      </c>
      <c r="S42" s="27">
        <v>3.0</v>
      </c>
      <c r="T42" s="27">
        <v>1.0</v>
      </c>
      <c r="U42" s="38">
        <v>0.0</v>
      </c>
    </row>
    <row r="43">
      <c r="B43" s="27" t="s">
        <v>108</v>
      </c>
      <c r="C43" s="27" t="s">
        <v>20</v>
      </c>
      <c r="D43" s="35" t="s">
        <v>109</v>
      </c>
      <c r="E43" s="27">
        <v>25.0</v>
      </c>
      <c r="F43" s="27" t="s">
        <v>110</v>
      </c>
      <c r="G43" s="27">
        <v>2.0</v>
      </c>
      <c r="H43" s="27">
        <v>1.0</v>
      </c>
      <c r="I43" s="27">
        <v>0.0</v>
      </c>
      <c r="J43" s="28" t="s">
        <v>111</v>
      </c>
      <c r="K43" s="27">
        <v>30.0</v>
      </c>
      <c r="L43" s="27" t="s">
        <v>112</v>
      </c>
      <c r="M43" s="27">
        <v>2.0</v>
      </c>
      <c r="N43" s="27">
        <v>1.0</v>
      </c>
      <c r="O43" s="38">
        <v>0.0</v>
      </c>
      <c r="P43" s="28" t="s">
        <v>113</v>
      </c>
      <c r="Q43" s="27">
        <v>40.0</v>
      </c>
      <c r="R43" s="27" t="s">
        <v>114</v>
      </c>
      <c r="S43" s="27">
        <v>3.0</v>
      </c>
      <c r="T43" s="27">
        <v>1.0</v>
      </c>
      <c r="U43" s="38">
        <v>0.0</v>
      </c>
    </row>
    <row r="44">
      <c r="B44" s="27" t="s">
        <v>115</v>
      </c>
      <c r="C44" s="27" t="s">
        <v>21</v>
      </c>
      <c r="D44" s="35" t="s">
        <v>116</v>
      </c>
      <c r="E44" s="27">
        <v>10.0</v>
      </c>
      <c r="F44" s="27" t="s">
        <v>48</v>
      </c>
      <c r="G44" s="27">
        <v>0.0</v>
      </c>
      <c r="H44" s="27">
        <v>1.0</v>
      </c>
      <c r="I44" s="27">
        <v>2.0</v>
      </c>
      <c r="J44" s="28" t="s">
        <v>117</v>
      </c>
      <c r="K44" s="27">
        <v>20.0</v>
      </c>
      <c r="L44" s="27" t="s">
        <v>50</v>
      </c>
      <c r="M44" s="27">
        <v>0.0</v>
      </c>
      <c r="N44" s="27">
        <v>1.0</v>
      </c>
      <c r="O44" s="39">
        <v>4.0</v>
      </c>
      <c r="P44" s="28" t="s">
        <v>118</v>
      </c>
      <c r="Q44" s="27">
        <v>30.0</v>
      </c>
      <c r="R44" s="27" t="s">
        <v>52</v>
      </c>
      <c r="S44" s="27">
        <v>0.0</v>
      </c>
      <c r="T44" s="27">
        <v>1.0</v>
      </c>
      <c r="U44" s="39">
        <v>6.0</v>
      </c>
    </row>
    <row r="45">
      <c r="B45" s="27" t="s">
        <v>119</v>
      </c>
      <c r="C45" s="27" t="s">
        <v>22</v>
      </c>
      <c r="D45" s="35" t="s">
        <v>120</v>
      </c>
      <c r="E45" s="27">
        <v>100.0</v>
      </c>
      <c r="F45" s="27" t="s">
        <v>121</v>
      </c>
      <c r="G45" s="27">
        <v>0.0</v>
      </c>
      <c r="H45" s="27">
        <v>8.0</v>
      </c>
      <c r="I45" s="27">
        <v>0.0</v>
      </c>
      <c r="J45" s="28" t="s">
        <v>24</v>
      </c>
      <c r="K45" s="27" t="s">
        <v>24</v>
      </c>
      <c r="L45" s="27" t="s">
        <v>24</v>
      </c>
      <c r="M45" s="27" t="s">
        <v>24</v>
      </c>
      <c r="N45" s="27" t="s">
        <v>24</v>
      </c>
      <c r="O45" s="38" t="s">
        <v>24</v>
      </c>
      <c r="P45" s="28" t="s">
        <v>24</v>
      </c>
      <c r="Q45" s="27" t="s">
        <v>24</v>
      </c>
      <c r="R45" s="27" t="s">
        <v>24</v>
      </c>
      <c r="S45" s="27" t="s">
        <v>24</v>
      </c>
      <c r="T45" s="27" t="s">
        <v>24</v>
      </c>
      <c r="U45" s="38" t="s">
        <v>24</v>
      </c>
    </row>
    <row r="46">
      <c r="B46" s="27" t="s">
        <v>122</v>
      </c>
      <c r="C46" s="27" t="s">
        <v>25</v>
      </c>
      <c r="D46" s="35" t="s">
        <v>123</v>
      </c>
      <c r="E46" s="27">
        <v>35.0</v>
      </c>
      <c r="F46" s="27" t="s">
        <v>124</v>
      </c>
      <c r="G46" s="27">
        <v>0.0</v>
      </c>
      <c r="H46" s="27">
        <v>1.0</v>
      </c>
      <c r="I46" s="27">
        <v>0.0</v>
      </c>
      <c r="J46" s="28" t="s">
        <v>125</v>
      </c>
      <c r="K46" s="40">
        <v>40.0</v>
      </c>
      <c r="L46" s="27" t="s">
        <v>126</v>
      </c>
      <c r="M46" s="27">
        <v>0.0</v>
      </c>
      <c r="N46" s="27">
        <v>0.0</v>
      </c>
      <c r="O46" s="38">
        <v>0.0</v>
      </c>
      <c r="P46" s="28" t="s">
        <v>127</v>
      </c>
      <c r="Q46" s="40">
        <v>45.0</v>
      </c>
      <c r="R46" s="27" t="s">
        <v>128</v>
      </c>
      <c r="S46" s="27">
        <v>0.0</v>
      </c>
      <c r="T46" s="27">
        <v>0.0</v>
      </c>
      <c r="U46" s="38">
        <v>0.0</v>
      </c>
    </row>
    <row r="47">
      <c r="B47" s="27" t="s">
        <v>129</v>
      </c>
      <c r="C47" s="41" t="s">
        <v>130</v>
      </c>
      <c r="D47" s="27" t="s">
        <v>131</v>
      </c>
      <c r="E47" s="27">
        <v>50.0</v>
      </c>
      <c r="F47" s="27" t="s">
        <v>48</v>
      </c>
      <c r="G47" s="27">
        <v>0.0</v>
      </c>
      <c r="H47" s="27">
        <v>1.0</v>
      </c>
      <c r="I47" s="27">
        <v>0.0</v>
      </c>
      <c r="J47" s="28" t="s">
        <v>132</v>
      </c>
      <c r="K47" s="27">
        <v>60.0</v>
      </c>
      <c r="L47" s="27" t="s">
        <v>50</v>
      </c>
      <c r="M47" s="27">
        <v>0.0</v>
      </c>
      <c r="N47" s="27">
        <v>1.0</v>
      </c>
      <c r="O47" s="38">
        <v>0.0</v>
      </c>
      <c r="P47" s="28" t="s">
        <v>133</v>
      </c>
      <c r="Q47" s="27">
        <v>60.0</v>
      </c>
      <c r="R47" s="27" t="s">
        <v>52</v>
      </c>
      <c r="S47" s="27">
        <v>0.0</v>
      </c>
      <c r="T47" s="27">
        <v>1.0</v>
      </c>
      <c r="U47" s="38">
        <v>0.0</v>
      </c>
    </row>
    <row r="48">
      <c r="B48" s="27" t="s">
        <v>129</v>
      </c>
      <c r="C48" s="27" t="s">
        <v>28</v>
      </c>
      <c r="D48" s="35" t="s">
        <v>134</v>
      </c>
      <c r="E48" s="27">
        <v>60.0</v>
      </c>
      <c r="F48" s="27" t="s">
        <v>135</v>
      </c>
      <c r="G48" s="27">
        <v>0.0</v>
      </c>
      <c r="H48" s="27">
        <v>1.0</v>
      </c>
      <c r="I48" s="38">
        <v>0.0</v>
      </c>
      <c r="J48" s="27" t="s">
        <v>136</v>
      </c>
      <c r="K48" s="27">
        <v>60.0</v>
      </c>
      <c r="L48" s="27" t="s">
        <v>137</v>
      </c>
      <c r="M48" s="27">
        <v>0.0</v>
      </c>
      <c r="N48" s="27">
        <v>1.0</v>
      </c>
      <c r="O48" s="38">
        <v>0.0</v>
      </c>
      <c r="P48" s="28" t="s">
        <v>138</v>
      </c>
      <c r="Q48" s="27">
        <v>100.0</v>
      </c>
      <c r="R48" s="27" t="s">
        <v>52</v>
      </c>
      <c r="S48" s="27">
        <v>0.0</v>
      </c>
      <c r="T48" s="27">
        <v>1.0</v>
      </c>
      <c r="U48" s="38">
        <v>0.0</v>
      </c>
    </row>
    <row r="49">
      <c r="B49" s="27" t="s">
        <v>139</v>
      </c>
      <c r="C49" s="41" t="s">
        <v>29</v>
      </c>
      <c r="D49" s="27" t="s">
        <v>140</v>
      </c>
      <c r="E49" s="40">
        <v>50.0</v>
      </c>
      <c r="F49" s="27" t="s">
        <v>48</v>
      </c>
      <c r="G49" s="27">
        <v>0.0</v>
      </c>
      <c r="H49" s="27">
        <v>1.0</v>
      </c>
      <c r="I49" s="38">
        <v>0.0</v>
      </c>
      <c r="J49" s="28" t="s">
        <v>141</v>
      </c>
      <c r="K49" s="40">
        <v>60.0</v>
      </c>
      <c r="L49" s="27" t="s">
        <v>50</v>
      </c>
      <c r="M49" s="27">
        <v>0.0</v>
      </c>
      <c r="N49" s="27">
        <v>1.0</v>
      </c>
      <c r="O49" s="38">
        <v>0.0</v>
      </c>
      <c r="P49" s="28" t="s">
        <v>142</v>
      </c>
      <c r="Q49" s="40">
        <v>80.0</v>
      </c>
      <c r="R49" s="27" t="s">
        <v>52</v>
      </c>
      <c r="S49" s="27">
        <v>0.0</v>
      </c>
      <c r="T49" s="27">
        <v>1.0</v>
      </c>
      <c r="U49" s="38">
        <v>0.0</v>
      </c>
    </row>
    <row r="50">
      <c r="B50" s="27" t="s">
        <v>143</v>
      </c>
      <c r="C50" s="41" t="s">
        <v>26</v>
      </c>
      <c r="D50" s="35" t="s">
        <v>144</v>
      </c>
      <c r="E50" s="27">
        <v>30.0</v>
      </c>
      <c r="F50" s="27" t="s">
        <v>48</v>
      </c>
      <c r="G50" s="27">
        <v>1.0</v>
      </c>
      <c r="H50" s="27">
        <v>1.0</v>
      </c>
      <c r="I50" s="38">
        <v>1.0</v>
      </c>
      <c r="J50" s="28" t="s">
        <v>145</v>
      </c>
      <c r="K50" s="40">
        <v>43.0</v>
      </c>
      <c r="L50" s="27" t="s">
        <v>50</v>
      </c>
      <c r="M50" s="27">
        <v>2.0</v>
      </c>
      <c r="N50" s="27">
        <v>1.0</v>
      </c>
      <c r="O50" s="38">
        <v>1.0</v>
      </c>
      <c r="P50" s="28" t="s">
        <v>146</v>
      </c>
      <c r="Q50" s="40">
        <v>55.0</v>
      </c>
      <c r="R50" s="27" t="s">
        <v>52</v>
      </c>
      <c r="S50" s="27">
        <v>2.0</v>
      </c>
      <c r="T50" s="27">
        <v>1.0</v>
      </c>
      <c r="U50" s="38">
        <v>1.0</v>
      </c>
    </row>
    <row r="51">
      <c r="B51" s="42" t="s">
        <v>147</v>
      </c>
      <c r="C51" s="42" t="s">
        <v>34</v>
      </c>
      <c r="D51" s="43" t="s">
        <v>148</v>
      </c>
      <c r="E51" s="42">
        <v>35.0</v>
      </c>
      <c r="F51" s="42" t="s">
        <v>48</v>
      </c>
      <c r="G51" s="42">
        <v>2.0</v>
      </c>
      <c r="H51" s="42">
        <v>1.0</v>
      </c>
      <c r="I51" s="44">
        <v>2.0</v>
      </c>
      <c r="J51" s="45" t="s">
        <v>149</v>
      </c>
      <c r="K51" s="42">
        <v>40.0</v>
      </c>
      <c r="L51" s="42" t="s">
        <v>50</v>
      </c>
      <c r="M51" s="42">
        <v>3.0</v>
      </c>
      <c r="N51" s="42">
        <v>1.0</v>
      </c>
      <c r="O51" s="44">
        <v>2.0</v>
      </c>
      <c r="P51" s="45" t="s">
        <v>150</v>
      </c>
      <c r="Q51" s="42">
        <v>45.0</v>
      </c>
      <c r="R51" s="42" t="s">
        <v>50</v>
      </c>
      <c r="S51" s="42">
        <v>4.0</v>
      </c>
      <c r="T51" s="42">
        <v>1.0</v>
      </c>
      <c r="U51" s="44">
        <v>2.0</v>
      </c>
    </row>
    <row r="52">
      <c r="B52" s="42" t="s">
        <v>151</v>
      </c>
      <c r="C52" s="42" t="s">
        <v>30</v>
      </c>
      <c r="D52" s="43" t="s">
        <v>152</v>
      </c>
      <c r="E52" s="42">
        <v>20.0</v>
      </c>
      <c r="F52" s="42" t="s">
        <v>48</v>
      </c>
      <c r="G52" s="42">
        <v>1.0</v>
      </c>
      <c r="H52" s="42">
        <v>1.0</v>
      </c>
      <c r="I52" s="44">
        <v>2.0</v>
      </c>
      <c r="J52" s="45" t="s">
        <v>153</v>
      </c>
      <c r="K52" s="42">
        <v>25.0</v>
      </c>
      <c r="L52" s="42" t="s">
        <v>50</v>
      </c>
      <c r="M52" s="42">
        <v>3.0</v>
      </c>
      <c r="N52" s="42">
        <v>1.0</v>
      </c>
      <c r="O52" s="44">
        <v>2.0</v>
      </c>
      <c r="P52" s="45" t="s">
        <v>154</v>
      </c>
      <c r="Q52" s="42">
        <v>30.0</v>
      </c>
      <c r="R52" s="42" t="s">
        <v>50</v>
      </c>
      <c r="S52" s="42">
        <v>4.0</v>
      </c>
      <c r="T52" s="42">
        <v>1.0</v>
      </c>
      <c r="U52" s="44">
        <v>2.0</v>
      </c>
    </row>
    <row r="53">
      <c r="B53" s="42" t="s">
        <v>155</v>
      </c>
      <c r="C53" s="42" t="s">
        <v>31</v>
      </c>
      <c r="D53" s="43" t="s">
        <v>156</v>
      </c>
      <c r="E53" s="42">
        <v>25.0</v>
      </c>
      <c r="F53" s="42" t="s">
        <v>157</v>
      </c>
      <c r="G53" s="42">
        <v>0.0</v>
      </c>
      <c r="H53" s="42">
        <v>1.0</v>
      </c>
      <c r="I53" s="42">
        <v>0.0</v>
      </c>
      <c r="J53" s="28" t="s">
        <v>24</v>
      </c>
      <c r="K53" s="27" t="s">
        <v>24</v>
      </c>
      <c r="L53" s="27" t="s">
        <v>24</v>
      </c>
      <c r="M53" s="27" t="s">
        <v>24</v>
      </c>
      <c r="N53" s="27" t="s">
        <v>24</v>
      </c>
      <c r="O53" s="38" t="s">
        <v>24</v>
      </c>
      <c r="P53" s="28" t="s">
        <v>24</v>
      </c>
      <c r="Q53" s="27" t="s">
        <v>24</v>
      </c>
      <c r="R53" s="27" t="s">
        <v>24</v>
      </c>
      <c r="S53" s="27" t="s">
        <v>24</v>
      </c>
      <c r="T53" s="27" t="s">
        <v>24</v>
      </c>
      <c r="U53" s="38" t="s">
        <v>24</v>
      </c>
    </row>
    <row r="54">
      <c r="B54" s="42" t="s">
        <v>158</v>
      </c>
      <c r="C54" s="42" t="s">
        <v>33</v>
      </c>
      <c r="D54" s="46" t="s">
        <v>47</v>
      </c>
      <c r="E54" s="47">
        <v>20.0</v>
      </c>
      <c r="F54" s="47" t="s">
        <v>48</v>
      </c>
      <c r="G54" s="48" t="s">
        <v>24</v>
      </c>
      <c r="H54" s="48" t="s">
        <v>24</v>
      </c>
      <c r="I54" s="47">
        <v>0.0</v>
      </c>
      <c r="J54" s="49" t="s">
        <v>159</v>
      </c>
      <c r="K54" s="47">
        <v>30.0</v>
      </c>
      <c r="L54" s="47" t="s">
        <v>50</v>
      </c>
      <c r="M54" s="48" t="s">
        <v>24</v>
      </c>
      <c r="N54" s="48" t="s">
        <v>24</v>
      </c>
      <c r="O54" s="47">
        <v>0.0</v>
      </c>
      <c r="P54" s="49" t="s">
        <v>160</v>
      </c>
      <c r="Q54" s="47">
        <v>40.0</v>
      </c>
      <c r="R54" s="50" t="s">
        <v>161</v>
      </c>
      <c r="S54" s="48" t="s">
        <v>24</v>
      </c>
      <c r="T54" s="48" t="s">
        <v>24</v>
      </c>
      <c r="U54" s="51">
        <v>0.0</v>
      </c>
    </row>
  </sheetData>
  <mergeCells count="3">
    <mergeCell ref="C1:F2"/>
    <mergeCell ref="G1:J2"/>
    <mergeCell ref="K1:N2"/>
  </mergeCells>
  <drawing r:id="rId1"/>
</worksheet>
</file>