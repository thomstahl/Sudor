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BuilderBasic" sheetId="1" r:id="rId5"/>
    <sheet state="visible" name="CombatWork" sheetId="2" r:id="rId6"/>
    <sheet state="visible" name="StrongholdStats" sheetId="3" r:id="rId7"/>
    <sheet state="visible" name="Level1BuildingsStats" sheetId="4" r:id="rId8"/>
  </sheets>
  <definedNames/>
  <calcPr/>
</workbook>
</file>

<file path=xl/sharedStrings.xml><?xml version="1.0" encoding="utf-8"?>
<sst xmlns="http://schemas.openxmlformats.org/spreadsheetml/2006/main" count="95" uniqueCount="47">
  <si>
    <t>Value</t>
  </si>
  <si>
    <t>WaterMove</t>
  </si>
  <si>
    <t>LandMove</t>
  </si>
  <si>
    <t>Hitpoints</t>
  </si>
  <si>
    <t>HeavyDEF</t>
  </si>
  <si>
    <t>MeleeDEF</t>
  </si>
  <si>
    <t>PierceDEF</t>
  </si>
  <si>
    <t>RangeDEF</t>
  </si>
  <si>
    <t>HeavyATK</t>
  </si>
  <si>
    <t>MeleeATK</t>
  </si>
  <si>
    <t>PierceATK</t>
  </si>
  <si>
    <t>RangeATK</t>
  </si>
  <si>
    <t>HeavyDMG</t>
  </si>
  <si>
    <t>MeleeDMG</t>
  </si>
  <si>
    <t>PierceDMG</t>
  </si>
  <si>
    <t>RangeDMG</t>
  </si>
  <si>
    <t>Size</t>
  </si>
  <si>
    <t>Carry</t>
  </si>
  <si>
    <t>Player0</t>
  </si>
  <si>
    <t>Player1</t>
  </si>
  <si>
    <t>Melee Damage Dealt</t>
  </si>
  <si>
    <t>Pierce Damage Dealt</t>
  </si>
  <si>
    <t>Heavy Damage Dealt</t>
  </si>
  <si>
    <t>Total Damage Dealt</t>
  </si>
  <si>
    <t>Damage Player0 --&gt; Player1</t>
  </si>
  <si>
    <t>Damage Player1 --&gt; Player0</t>
  </si>
  <si>
    <t>Carry (capacity)</t>
  </si>
  <si>
    <t>Library</t>
  </si>
  <si>
    <t>Workshop</t>
  </si>
  <si>
    <t>Mine</t>
  </si>
  <si>
    <t>Pasture</t>
  </si>
  <si>
    <t>Fishery</t>
  </si>
  <si>
    <t>Farm</t>
  </si>
  <si>
    <t>Mill</t>
  </si>
  <si>
    <t>Logging Camp</t>
  </si>
  <si>
    <t>Forge</t>
  </si>
  <si>
    <t>Orchard</t>
  </si>
  <si>
    <t>Dockyard</t>
  </si>
  <si>
    <t>Smithy</t>
  </si>
  <si>
    <t>Brewery</t>
  </si>
  <si>
    <t>Hospital</t>
  </si>
  <si>
    <t>Housing</t>
  </si>
  <si>
    <t>Wonder</t>
  </si>
  <si>
    <t>University</t>
  </si>
  <si>
    <t>Wall</t>
  </si>
  <si>
    <t>Fort</t>
  </si>
  <si>
    <t>Tower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</si>
</sst>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1" numFmtId="0" xfId="0" applyAlignment="1" applyFont="1">
      <alignment readingOrder="0"/>
    </xf>
    <xf borderId="2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3.png"/><Relationship Id="rId13" Type="http://schemas.openxmlformats.org/officeDocument/2006/relationships/image" Target="../media/image2.png"/><Relationship Id="rId12" Type="http://schemas.openxmlformats.org/officeDocument/2006/relationships/image" Target="../media/image9.png"/><Relationship Id="rId1" Type="http://schemas.openxmlformats.org/officeDocument/2006/relationships/image" Target="../media/image7.png"/><Relationship Id="rId2" Type="http://schemas.openxmlformats.org/officeDocument/2006/relationships/image" Target="../media/image11.png"/><Relationship Id="rId3" Type="http://schemas.openxmlformats.org/officeDocument/2006/relationships/image" Target="../media/image8.png"/><Relationship Id="rId4" Type="http://schemas.openxmlformats.org/officeDocument/2006/relationships/image" Target="../media/image14.png"/><Relationship Id="rId9" Type="http://schemas.openxmlformats.org/officeDocument/2006/relationships/image" Target="../media/image16.png"/><Relationship Id="rId15" Type="http://schemas.openxmlformats.org/officeDocument/2006/relationships/image" Target="../media/image4.png"/><Relationship Id="rId14" Type="http://schemas.openxmlformats.org/officeDocument/2006/relationships/image" Target="../media/image6.png"/><Relationship Id="rId17" Type="http://schemas.openxmlformats.org/officeDocument/2006/relationships/image" Target="../media/image10.png"/><Relationship Id="rId16" Type="http://schemas.openxmlformats.org/officeDocument/2006/relationships/image" Target="../media/image17.png"/><Relationship Id="rId5" Type="http://schemas.openxmlformats.org/officeDocument/2006/relationships/image" Target="../media/image1.png"/><Relationship Id="rId6" Type="http://schemas.openxmlformats.org/officeDocument/2006/relationships/image" Target="../media/image12.png"/><Relationship Id="rId7" Type="http://schemas.openxmlformats.org/officeDocument/2006/relationships/image" Target="../media/image5.png"/><Relationship Id="rId8" Type="http://schemas.openxmlformats.org/officeDocument/2006/relationships/image" Target="../media/image15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3.png"/><Relationship Id="rId13" Type="http://schemas.openxmlformats.org/officeDocument/2006/relationships/image" Target="../media/image2.png"/><Relationship Id="rId12" Type="http://schemas.openxmlformats.org/officeDocument/2006/relationships/image" Target="../media/image9.png"/><Relationship Id="rId1" Type="http://schemas.openxmlformats.org/officeDocument/2006/relationships/image" Target="../media/image7.png"/><Relationship Id="rId2" Type="http://schemas.openxmlformats.org/officeDocument/2006/relationships/image" Target="../media/image11.png"/><Relationship Id="rId3" Type="http://schemas.openxmlformats.org/officeDocument/2006/relationships/image" Target="../media/image8.png"/><Relationship Id="rId4" Type="http://schemas.openxmlformats.org/officeDocument/2006/relationships/image" Target="../media/image14.png"/><Relationship Id="rId9" Type="http://schemas.openxmlformats.org/officeDocument/2006/relationships/image" Target="../media/image16.png"/><Relationship Id="rId15" Type="http://schemas.openxmlformats.org/officeDocument/2006/relationships/image" Target="../media/image4.png"/><Relationship Id="rId14" Type="http://schemas.openxmlformats.org/officeDocument/2006/relationships/image" Target="../media/image6.png"/><Relationship Id="rId17" Type="http://schemas.openxmlformats.org/officeDocument/2006/relationships/image" Target="../media/image10.png"/><Relationship Id="rId16" Type="http://schemas.openxmlformats.org/officeDocument/2006/relationships/image" Target="../media/image17.png"/><Relationship Id="rId5" Type="http://schemas.openxmlformats.org/officeDocument/2006/relationships/image" Target="../media/image1.png"/><Relationship Id="rId6" Type="http://schemas.openxmlformats.org/officeDocument/2006/relationships/image" Target="../media/image12.png"/><Relationship Id="rId7" Type="http://schemas.openxmlformats.org/officeDocument/2006/relationships/image" Target="../media/image5.png"/><Relationship Id="rId8" Type="http://schemas.openxmlformats.org/officeDocument/2006/relationships/image" Target="../media/image1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Relationship Id="rId3" Type="http://schemas.openxmlformats.org/officeDocument/2006/relationships/image" Target="../media/image1.png"/><Relationship Id="rId4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1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Relationship Id="rId3" Type="http://schemas.openxmlformats.org/officeDocument/2006/relationships/image" Target="../media/image1.png"/><Relationship Id="rId4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.75"/>
  </cols>
  <sheetData>
    <row r="1">
      <c r="C1" s="1" t="s">
        <v>0</v>
      </c>
    </row>
    <row r="2">
      <c r="A2" s="2" t="s">
        <v>1</v>
      </c>
      <c r="B2" s="3"/>
      <c r="C2" s="1">
        <v>0.0</v>
      </c>
    </row>
    <row r="3">
      <c r="A3" s="2" t="s">
        <v>2</v>
      </c>
      <c r="B3" s="3"/>
      <c r="C3" s="1">
        <v>1.0</v>
      </c>
    </row>
    <row r="4">
      <c r="A4" s="2" t="s">
        <v>3</v>
      </c>
      <c r="B4" s="3"/>
      <c r="C4" s="1">
        <v>40.0</v>
      </c>
    </row>
    <row r="5">
      <c r="A5" s="2" t="s">
        <v>4</v>
      </c>
      <c r="B5" s="3"/>
      <c r="C5" s="1">
        <v>6.0</v>
      </c>
    </row>
    <row r="6">
      <c r="A6" s="2" t="s">
        <v>5</v>
      </c>
      <c r="B6" s="3"/>
      <c r="C6" s="1">
        <v>8.0</v>
      </c>
      <c r="E6" s="4"/>
    </row>
    <row r="7">
      <c r="A7" s="2" t="s">
        <v>6</v>
      </c>
      <c r="B7" s="3"/>
      <c r="C7" s="1">
        <v>11.0</v>
      </c>
    </row>
    <row r="8">
      <c r="A8" s="2" t="s">
        <v>7</v>
      </c>
      <c r="B8" s="3"/>
      <c r="C8" s="1">
        <v>7.0</v>
      </c>
    </row>
    <row r="9">
      <c r="A9" s="2" t="s">
        <v>8</v>
      </c>
      <c r="B9" s="3"/>
      <c r="C9" s="1">
        <v>0.0</v>
      </c>
      <c r="E9" s="1"/>
    </row>
    <row r="10">
      <c r="A10" s="2" t="s">
        <v>9</v>
      </c>
      <c r="B10" s="3"/>
      <c r="C10" s="1">
        <v>9.5</v>
      </c>
    </row>
    <row r="11">
      <c r="A11" s="2" t="s">
        <v>10</v>
      </c>
      <c r="B11" s="3"/>
      <c r="C11" s="1">
        <v>0.0</v>
      </c>
    </row>
    <row r="12">
      <c r="A12" s="2" t="s">
        <v>11</v>
      </c>
      <c r="B12" s="3"/>
      <c r="C12" s="1">
        <v>0.0</v>
      </c>
    </row>
    <row r="13">
      <c r="A13" s="2" t="s">
        <v>12</v>
      </c>
      <c r="B13" s="3"/>
      <c r="C13" s="1">
        <v>0.0</v>
      </c>
    </row>
    <row r="14">
      <c r="A14" s="2" t="s">
        <v>13</v>
      </c>
      <c r="B14" s="3"/>
      <c r="C14" s="1">
        <v>12.0</v>
      </c>
    </row>
    <row r="15">
      <c r="A15" s="2" t="s">
        <v>14</v>
      </c>
      <c r="B15" s="3"/>
      <c r="C15" s="1">
        <v>0.0</v>
      </c>
    </row>
    <row r="16">
      <c r="A16" s="2" t="s">
        <v>15</v>
      </c>
      <c r="B16" s="3"/>
      <c r="C16" s="1">
        <v>0.0</v>
      </c>
    </row>
    <row r="17">
      <c r="A17" s="2" t="s">
        <v>16</v>
      </c>
      <c r="B17" s="3"/>
      <c r="C17" s="1">
        <v>3.0</v>
      </c>
    </row>
    <row r="18">
      <c r="A18" s="2" t="s">
        <v>17</v>
      </c>
      <c r="B18" s="3"/>
      <c r="C18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.75"/>
    <col customWidth="1" min="6" max="6" width="2.75"/>
    <col customWidth="1" min="8" max="8" width="0.38"/>
    <col customWidth="1" min="10" max="10" width="9.75"/>
    <col customWidth="1" min="11" max="13" width="18.5"/>
  </cols>
  <sheetData>
    <row r="1">
      <c r="A1" s="1" t="s">
        <v>18</v>
      </c>
      <c r="C1" s="1" t="s">
        <v>0</v>
      </c>
      <c r="E1" s="1" t="s">
        <v>19</v>
      </c>
      <c r="G1" s="1" t="s">
        <v>0</v>
      </c>
    </row>
    <row r="2">
      <c r="A2" s="2" t="s">
        <v>1</v>
      </c>
      <c r="B2" s="3"/>
      <c r="C2" s="1">
        <v>0.0</v>
      </c>
      <c r="E2" s="2" t="s">
        <v>1</v>
      </c>
      <c r="F2" s="3"/>
      <c r="G2" s="1">
        <v>0.0</v>
      </c>
    </row>
    <row r="3">
      <c r="A3" s="2" t="s">
        <v>2</v>
      </c>
      <c r="B3" s="3"/>
      <c r="C3" s="1">
        <v>1.0</v>
      </c>
      <c r="E3" s="2" t="s">
        <v>2</v>
      </c>
      <c r="F3" s="3"/>
      <c r="G3" s="1">
        <v>1.0</v>
      </c>
    </row>
    <row r="4">
      <c r="A4" s="2" t="s">
        <v>3</v>
      </c>
      <c r="B4" s="3"/>
      <c r="C4" s="1">
        <v>40.0</v>
      </c>
      <c r="E4" s="2" t="s">
        <v>3</v>
      </c>
      <c r="F4" s="3"/>
      <c r="G4" s="1">
        <v>10.0</v>
      </c>
    </row>
    <row r="5">
      <c r="A5" s="2" t="s">
        <v>4</v>
      </c>
      <c r="B5" s="3"/>
      <c r="C5" s="1">
        <v>5.5</v>
      </c>
      <c r="E5" s="2" t="s">
        <v>4</v>
      </c>
      <c r="F5" s="3"/>
      <c r="G5" s="1">
        <v>1.0</v>
      </c>
    </row>
    <row r="6">
      <c r="A6" s="2" t="s">
        <v>5</v>
      </c>
      <c r="B6" s="3"/>
      <c r="C6" s="1">
        <v>7.5</v>
      </c>
      <c r="E6" s="2" t="s">
        <v>5</v>
      </c>
      <c r="F6" s="3"/>
      <c r="G6" s="1">
        <v>1.0</v>
      </c>
    </row>
    <row r="7">
      <c r="A7" s="2" t="s">
        <v>6</v>
      </c>
      <c r="B7" s="3"/>
      <c r="C7" s="1">
        <v>10.0</v>
      </c>
      <c r="E7" s="2" t="s">
        <v>6</v>
      </c>
      <c r="F7" s="3"/>
      <c r="G7" s="1">
        <v>1.0</v>
      </c>
    </row>
    <row r="8">
      <c r="A8" s="2" t="s">
        <v>7</v>
      </c>
      <c r="B8" s="3"/>
      <c r="C8" s="1">
        <v>4.0</v>
      </c>
      <c r="E8" s="2" t="s">
        <v>7</v>
      </c>
      <c r="F8" s="3"/>
      <c r="G8" s="1">
        <v>0.0</v>
      </c>
    </row>
    <row r="9">
      <c r="A9" s="2" t="s">
        <v>8</v>
      </c>
      <c r="B9" s="3"/>
      <c r="C9" s="1">
        <v>5.0</v>
      </c>
      <c r="E9" s="2" t="s">
        <v>8</v>
      </c>
      <c r="F9" s="3"/>
      <c r="G9" s="1">
        <v>1.0</v>
      </c>
    </row>
    <row r="10">
      <c r="A10" s="2" t="s">
        <v>9</v>
      </c>
      <c r="B10" s="3"/>
      <c r="C10" s="1">
        <v>8.0</v>
      </c>
      <c r="E10" s="2" t="s">
        <v>9</v>
      </c>
      <c r="F10" s="3"/>
      <c r="G10" s="1">
        <v>1.0</v>
      </c>
      <c r="H10" s="1">
        <v>1.0</v>
      </c>
      <c r="K10" s="5" t="s">
        <v>20</v>
      </c>
      <c r="L10" s="5" t="s">
        <v>21</v>
      </c>
      <c r="M10" s="5" t="s">
        <v>22</v>
      </c>
      <c r="N10" s="2" t="s">
        <v>23</v>
      </c>
    </row>
    <row r="11">
      <c r="A11" s="2" t="s">
        <v>10</v>
      </c>
      <c r="B11" s="3"/>
      <c r="C11" s="1">
        <v>1.0</v>
      </c>
      <c r="E11" s="2" t="s">
        <v>10</v>
      </c>
      <c r="F11" s="3"/>
      <c r="G11" s="1">
        <v>1.0</v>
      </c>
      <c r="I11" s="2" t="s">
        <v>24</v>
      </c>
      <c r="K11" s="6">
        <f>IFERROR((IF((C14-(C14*(G6/C10)/2))&lt;0,0,C14-(C14*(G6/C10)/2))),0)</f>
        <v>11.25</v>
      </c>
      <c r="L11" s="6">
        <f>IFERROR((IF((C15-(C15*(G7/C11)/2))&lt;0,0,C15-(C15*(G7/C11)/2))),0)</f>
        <v>0.5</v>
      </c>
      <c r="M11" s="7">
        <f>IFERROR((IF((C13-(C13*(G5/C9)/2))&lt;0,0,C13-(C13*(G5/C9)/2))),0)</f>
        <v>4.5</v>
      </c>
      <c r="N11" s="8">
        <f t="shared" ref="N11:N12" si="1">SUM(K11:M11)</f>
        <v>16.25</v>
      </c>
    </row>
    <row r="12">
      <c r="A12" s="2" t="s">
        <v>11</v>
      </c>
      <c r="B12" s="3"/>
      <c r="C12" s="1">
        <v>0.0</v>
      </c>
      <c r="E12" s="2" t="s">
        <v>11</v>
      </c>
      <c r="F12" s="3"/>
      <c r="G12" s="1">
        <v>0.0</v>
      </c>
      <c r="I12" s="2" t="s">
        <v>25</v>
      </c>
      <c r="K12" s="6">
        <f>IFERROR((IF((G14-(G14*(C6/G10)/2))&lt;0,0,G14-(G14*(C6/G10)/2))),0)</f>
        <v>0</v>
      </c>
      <c r="L12" s="6">
        <f>IFERROR((IF((G15-(G15*(C7/G11)/2))&lt;0,0,G15-(G15*(C7/G11)/2))),0)</f>
        <v>0</v>
      </c>
      <c r="M12" s="7">
        <f>IFERROR((IF((G13-(G13*(C5/G9)/2))&lt;0,0,G13-(G13*(C5/G9)/2))),0)</f>
        <v>0</v>
      </c>
      <c r="N12" s="8">
        <f t="shared" si="1"/>
        <v>0</v>
      </c>
    </row>
    <row r="13">
      <c r="A13" s="2" t="s">
        <v>12</v>
      </c>
      <c r="B13" s="3"/>
      <c r="C13" s="1">
        <v>5.0</v>
      </c>
      <c r="E13" s="2" t="s">
        <v>12</v>
      </c>
      <c r="F13" s="3"/>
      <c r="G13" s="1">
        <v>1.0</v>
      </c>
    </row>
    <row r="14">
      <c r="A14" s="2" t="s">
        <v>13</v>
      </c>
      <c r="B14" s="3"/>
      <c r="C14" s="1">
        <v>12.0</v>
      </c>
      <c r="E14" s="2" t="s">
        <v>13</v>
      </c>
      <c r="F14" s="3"/>
      <c r="G14" s="1">
        <v>3.0</v>
      </c>
    </row>
    <row r="15">
      <c r="A15" s="2" t="s">
        <v>14</v>
      </c>
      <c r="B15" s="3"/>
      <c r="C15" s="1">
        <v>1.0</v>
      </c>
      <c r="E15" s="2" t="s">
        <v>14</v>
      </c>
      <c r="F15" s="3"/>
      <c r="G15" s="1">
        <v>2.0</v>
      </c>
    </row>
    <row r="16">
      <c r="A16" s="2" t="s">
        <v>15</v>
      </c>
      <c r="B16" s="3"/>
      <c r="C16" s="1">
        <v>0.0</v>
      </c>
      <c r="E16" s="2" t="s">
        <v>15</v>
      </c>
      <c r="F16" s="3"/>
      <c r="G16" s="1">
        <v>0.0</v>
      </c>
    </row>
    <row r="17">
      <c r="A17" s="2" t="s">
        <v>16</v>
      </c>
      <c r="B17" s="3"/>
      <c r="C17" s="1">
        <v>3.0</v>
      </c>
      <c r="E17" s="2" t="s">
        <v>16</v>
      </c>
      <c r="F17" s="3"/>
      <c r="G17" s="1">
        <v>1.0</v>
      </c>
    </row>
    <row r="18">
      <c r="A18" s="2" t="s">
        <v>17</v>
      </c>
      <c r="B18" s="3"/>
      <c r="C18" s="1">
        <v>0.0</v>
      </c>
      <c r="E18" s="2" t="s">
        <v>17</v>
      </c>
      <c r="F18" s="3"/>
      <c r="G18" s="1">
        <v>0.0</v>
      </c>
    </row>
  </sheetData>
  <mergeCells count="2">
    <mergeCell ref="A1:B1"/>
    <mergeCell ref="E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.75"/>
  </cols>
  <sheetData>
    <row r="1">
      <c r="C1" s="1" t="s">
        <v>0</v>
      </c>
    </row>
    <row r="2">
      <c r="A2" s="9" t="s">
        <v>3</v>
      </c>
      <c r="B2" s="3"/>
      <c r="C2" s="10">
        <v>90.0</v>
      </c>
    </row>
    <row r="3">
      <c r="A3" s="9" t="s">
        <v>4</v>
      </c>
      <c r="B3" s="3"/>
      <c r="C3" s="11">
        <v>7.0</v>
      </c>
    </row>
    <row r="4">
      <c r="A4" s="9" t="s">
        <v>5</v>
      </c>
      <c r="B4" s="3"/>
      <c r="C4" s="11">
        <v>9.0</v>
      </c>
    </row>
    <row r="5">
      <c r="A5" s="9" t="s">
        <v>6</v>
      </c>
      <c r="B5" s="3"/>
      <c r="C5" s="11">
        <v>10.0</v>
      </c>
    </row>
    <row r="6">
      <c r="A6" s="9" t="s">
        <v>7</v>
      </c>
      <c r="B6" s="3"/>
      <c r="C6" s="11">
        <v>5.0</v>
      </c>
      <c r="E6" s="4"/>
    </row>
    <row r="7">
      <c r="A7" s="9" t="s">
        <v>26</v>
      </c>
      <c r="B7" s="3"/>
      <c r="C7" s="11">
        <v>5.0</v>
      </c>
    </row>
    <row r="9">
      <c r="E9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9.25"/>
    <col customWidth="1" min="2" max="2" width="2.75"/>
  </cols>
  <sheetData>
    <row r="1"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34</v>
      </c>
      <c r="K1" s="11" t="s">
        <v>35</v>
      </c>
      <c r="L1" s="11" t="s">
        <v>36</v>
      </c>
      <c r="M1" s="11" t="s">
        <v>37</v>
      </c>
      <c r="N1" s="11" t="s">
        <v>38</v>
      </c>
      <c r="O1" s="11" t="s">
        <v>39</v>
      </c>
      <c r="P1" s="11" t="s">
        <v>40</v>
      </c>
      <c r="Q1" s="11" t="s">
        <v>41</v>
      </c>
      <c r="R1" s="11" t="s">
        <v>42</v>
      </c>
      <c r="S1" s="11" t="s">
        <v>43</v>
      </c>
      <c r="T1" s="11" t="s">
        <v>44</v>
      </c>
      <c r="U1" s="11" t="s">
        <v>45</v>
      </c>
      <c r="V1" s="11" t="s">
        <v>46</v>
      </c>
    </row>
    <row r="2">
      <c r="A2" s="9" t="s">
        <v>3</v>
      </c>
      <c r="B2" s="3"/>
      <c r="C2" s="10">
        <v>35.0</v>
      </c>
      <c r="D2" s="10">
        <v>20.0</v>
      </c>
      <c r="E2" s="10">
        <v>15.0</v>
      </c>
      <c r="F2" s="10">
        <v>10.0</v>
      </c>
      <c r="G2" s="10">
        <v>20.0</v>
      </c>
      <c r="H2" s="10">
        <v>10.0</v>
      </c>
      <c r="I2" s="10">
        <v>15.0</v>
      </c>
      <c r="J2" s="10">
        <v>10.0</v>
      </c>
      <c r="K2" s="10">
        <v>20.0</v>
      </c>
      <c r="L2" s="10">
        <v>12.0</v>
      </c>
      <c r="M2" s="10">
        <v>20.0</v>
      </c>
      <c r="N2" s="10">
        <v>20.0</v>
      </c>
      <c r="O2" s="10">
        <v>15.0</v>
      </c>
      <c r="P2" s="10">
        <v>25.0</v>
      </c>
      <c r="Q2" s="10">
        <v>10.0</v>
      </c>
      <c r="R2" s="10">
        <v>100.0</v>
      </c>
      <c r="S2" s="10">
        <v>35.0</v>
      </c>
      <c r="T2" s="10">
        <v>50.0</v>
      </c>
      <c r="U2" s="10">
        <v>60.0</v>
      </c>
      <c r="V2" s="10">
        <v>30.0</v>
      </c>
    </row>
    <row r="3">
      <c r="A3" s="9" t="s">
        <v>4</v>
      </c>
      <c r="B3" s="3"/>
      <c r="C3" s="11">
        <v>1.0</v>
      </c>
      <c r="D3" s="11">
        <v>1.0</v>
      </c>
      <c r="E3" s="11">
        <v>1.0</v>
      </c>
      <c r="F3" s="11">
        <v>1.0</v>
      </c>
      <c r="G3" s="11">
        <v>1.0</v>
      </c>
      <c r="H3" s="11">
        <v>1.0</v>
      </c>
      <c r="I3" s="11">
        <v>1.0</v>
      </c>
      <c r="J3" s="11">
        <v>1.0</v>
      </c>
      <c r="K3" s="11">
        <v>2.0</v>
      </c>
      <c r="L3" s="11">
        <v>1.0</v>
      </c>
      <c r="M3" s="11">
        <v>1.0</v>
      </c>
      <c r="N3" s="11">
        <v>2.0</v>
      </c>
      <c r="O3" s="11">
        <v>1.0</v>
      </c>
      <c r="P3" s="11">
        <v>2.0</v>
      </c>
      <c r="Q3" s="11">
        <v>1.0</v>
      </c>
      <c r="R3" s="11">
        <v>5.0</v>
      </c>
      <c r="S3" s="11">
        <v>2.0</v>
      </c>
      <c r="T3" s="11">
        <v>5.0</v>
      </c>
      <c r="U3" s="11">
        <v>6.0</v>
      </c>
      <c r="V3" s="11">
        <v>5.0</v>
      </c>
    </row>
    <row r="4">
      <c r="A4" s="9" t="s">
        <v>5</v>
      </c>
      <c r="B4" s="3"/>
      <c r="C4" s="11">
        <v>3.0</v>
      </c>
      <c r="D4" s="11">
        <v>3.0</v>
      </c>
      <c r="E4" s="11">
        <v>3.0</v>
      </c>
      <c r="F4" s="11">
        <v>3.0</v>
      </c>
      <c r="G4" s="11">
        <v>3.0</v>
      </c>
      <c r="H4" s="11">
        <v>3.0</v>
      </c>
      <c r="I4" s="11">
        <v>3.0</v>
      </c>
      <c r="J4" s="11">
        <v>3.0</v>
      </c>
      <c r="K4" s="11">
        <v>4.0</v>
      </c>
      <c r="L4" s="11">
        <v>3.0</v>
      </c>
      <c r="M4" s="11">
        <v>3.0</v>
      </c>
      <c r="N4" s="11">
        <v>4.0</v>
      </c>
      <c r="O4" s="11">
        <v>3.0</v>
      </c>
      <c r="P4" s="11">
        <v>4.0</v>
      </c>
      <c r="Q4" s="11">
        <v>3.0</v>
      </c>
      <c r="R4" s="11">
        <v>6.0</v>
      </c>
      <c r="S4" s="11">
        <v>5.0</v>
      </c>
      <c r="T4" s="11">
        <v>6.0</v>
      </c>
      <c r="U4" s="11">
        <v>7.0</v>
      </c>
      <c r="V4" s="11">
        <v>6.0</v>
      </c>
    </row>
    <row r="5">
      <c r="A5" s="9" t="s">
        <v>6</v>
      </c>
      <c r="B5" s="3"/>
      <c r="C5" s="11">
        <v>5.0</v>
      </c>
      <c r="D5" s="11">
        <v>5.0</v>
      </c>
      <c r="E5" s="11">
        <v>5.0</v>
      </c>
      <c r="F5" s="11">
        <v>5.0</v>
      </c>
      <c r="G5" s="11">
        <v>5.0</v>
      </c>
      <c r="H5" s="11">
        <v>5.0</v>
      </c>
      <c r="I5" s="11">
        <v>5.0</v>
      </c>
      <c r="J5" s="11">
        <v>5.0</v>
      </c>
      <c r="K5" s="11">
        <v>6.0</v>
      </c>
      <c r="L5" s="11">
        <v>5.0</v>
      </c>
      <c r="M5" s="11">
        <v>5.0</v>
      </c>
      <c r="N5" s="11">
        <v>6.0</v>
      </c>
      <c r="O5" s="11">
        <v>5.0</v>
      </c>
      <c r="P5" s="11">
        <v>5.0</v>
      </c>
      <c r="Q5" s="11">
        <v>5.0</v>
      </c>
      <c r="R5" s="11">
        <v>8.0</v>
      </c>
      <c r="S5" s="11">
        <v>6.0</v>
      </c>
      <c r="T5" s="11">
        <v>8.0</v>
      </c>
      <c r="U5" s="11">
        <v>8.0</v>
      </c>
      <c r="V5" s="11">
        <v>8.0</v>
      </c>
    </row>
    <row r="6">
      <c r="A6" s="9" t="s">
        <v>7</v>
      </c>
      <c r="B6" s="3"/>
      <c r="C6" s="11">
        <v>2.0</v>
      </c>
      <c r="D6" s="11">
        <v>2.0</v>
      </c>
      <c r="E6" s="11">
        <v>2.0</v>
      </c>
      <c r="F6" s="11">
        <v>2.0</v>
      </c>
      <c r="G6" s="11">
        <v>2.0</v>
      </c>
      <c r="H6" s="11">
        <v>2.0</v>
      </c>
      <c r="I6" s="11">
        <v>2.0</v>
      </c>
      <c r="J6" s="11">
        <v>2.0</v>
      </c>
      <c r="K6" s="11">
        <v>2.0</v>
      </c>
      <c r="L6" s="11">
        <v>2.0</v>
      </c>
      <c r="M6" s="11">
        <v>2.0</v>
      </c>
      <c r="N6" s="11">
        <v>2.0</v>
      </c>
      <c r="O6" s="11">
        <v>2.0</v>
      </c>
      <c r="P6" s="11">
        <v>2.0</v>
      </c>
      <c r="Q6" s="11">
        <v>2.0</v>
      </c>
      <c r="R6" s="11">
        <v>5.0</v>
      </c>
      <c r="S6" s="11">
        <v>2.0</v>
      </c>
      <c r="T6" s="11">
        <v>5.0</v>
      </c>
      <c r="U6" s="11">
        <v>6.0</v>
      </c>
      <c r="V6" s="11">
        <v>5.0</v>
      </c>
    </row>
    <row r="7">
      <c r="A7" s="9" t="s">
        <v>26</v>
      </c>
      <c r="B7" s="3"/>
      <c r="C7" s="11">
        <v>0.0</v>
      </c>
      <c r="D7" s="11">
        <v>0.0</v>
      </c>
      <c r="E7" s="11">
        <v>0.0</v>
      </c>
      <c r="F7" s="11">
        <v>0.0</v>
      </c>
      <c r="G7" s="11">
        <v>0.0</v>
      </c>
      <c r="H7" s="11">
        <v>0.0</v>
      </c>
      <c r="I7" s="11">
        <v>0.0</v>
      </c>
      <c r="J7" s="11">
        <v>0.0</v>
      </c>
      <c r="K7" s="11">
        <v>0.0</v>
      </c>
      <c r="L7" s="11">
        <v>0.0</v>
      </c>
      <c r="M7" s="11">
        <v>0.0</v>
      </c>
      <c r="N7" s="11">
        <v>0.0</v>
      </c>
      <c r="O7" s="11">
        <v>0.0</v>
      </c>
      <c r="P7" s="11">
        <v>3.0</v>
      </c>
      <c r="Q7" s="11">
        <v>0.0</v>
      </c>
      <c r="R7" s="11">
        <v>0.0</v>
      </c>
      <c r="S7" s="11">
        <v>0.0</v>
      </c>
      <c r="T7" s="11">
        <v>0.0</v>
      </c>
      <c r="U7" s="11">
        <v>5.0</v>
      </c>
      <c r="V7" s="11">
        <v>1.0</v>
      </c>
    </row>
    <row r="8">
      <c r="A8" s="1"/>
      <c r="B8" s="1"/>
      <c r="C8" s="1"/>
    </row>
    <row r="9">
      <c r="A9" s="1"/>
      <c r="B9" s="1"/>
      <c r="C9" s="1"/>
      <c r="E9" s="1"/>
    </row>
    <row r="10">
      <c r="A10" s="1"/>
      <c r="B10" s="1"/>
      <c r="C10" s="1"/>
    </row>
    <row r="11">
      <c r="B11" s="1"/>
      <c r="C11" s="1"/>
    </row>
    <row r="12">
      <c r="B12" s="1"/>
      <c r="C12" s="1"/>
    </row>
    <row r="13">
      <c r="B13" s="1"/>
      <c r="C13" s="1"/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</sheetData>
  <drawing r:id="rId1"/>
</worksheet>
</file>