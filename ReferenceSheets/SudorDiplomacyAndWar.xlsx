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plomaticActions" sheetId="1" r:id="rId5"/>
  </sheets>
  <definedNames/>
  <calcPr/>
</workbook>
</file>

<file path=xl/sharedStrings.xml><?xml version="1.0" encoding="utf-8"?>
<sst xmlns="http://schemas.openxmlformats.org/spreadsheetml/2006/main" count="241" uniqueCount="40">
  <si>
    <t>War Goals</t>
  </si>
  <si>
    <t>ExtraneousDiplomaticActionsYourTerms</t>
  </si>
  <si>
    <t>SizeDiff(A_Variable_Reflecting_The_Difference_In_The_Number_Of_Provinces_Between_You_And_The_Other_Nation._Negative_if_you_have_more_provinces_than_them,_positive_if_they_have_more_provinces_than_you)</t>
  </si>
  <si>
    <t>Relations</t>
  </si>
  <si>
    <t>RaidInfluenceCost</t>
  </si>
  <si>
    <t>BaseDeclareWarInfluenceCost</t>
  </si>
  <si>
    <t>SecondaryGoalInfluenceCost</t>
  </si>
  <si>
    <t>TertiaryGoalInfluenceCost</t>
  </si>
  <si>
    <t>QuaternaryGoalInfluenceCost</t>
  </si>
  <si>
    <t>VassalizeCapturedClaimedProvinceInfluenceCost(PerProvince)</t>
  </si>
  <si>
    <t>DeclareVassal/Tributary/ProtectorateIndependence</t>
  </si>
  <si>
    <t>AnnexCapturedClaimedProvinceInfluenceCost(PerProvince)</t>
  </si>
  <si>
    <t>ForceRightOfWayInfluenceCost</t>
  </si>
  <si>
    <t>ForceShareMapInfluenceCost</t>
  </si>
  <si>
    <t>ForceFullVassalizationInfluenceCost</t>
  </si>
  <si>
    <t>ForceFullProtectorateInfluenceCost</t>
  </si>
  <si>
    <t>ForceFullTributaryInfluenceCost</t>
  </si>
  <si>
    <t>ForceOpenProvincesForThruTraderouteInfluenceCost(PerProvince)</t>
  </si>
  <si>
    <t>ForceCloseProvincesForThruTraderouteInfluenceCost(PerProvince)</t>
  </si>
  <si>
    <t>ForceFullShareMap</t>
  </si>
  <si>
    <t>ForceFullRightOfWay</t>
  </si>
  <si>
    <t>ForceMilitaryAllianceYouProtectThem</t>
  </si>
  <si>
    <t>ForceMilitaryAllianceMutualProtection</t>
  </si>
  <si>
    <t>ForceMilitaryAllianceTheyProtectYou</t>
  </si>
  <si>
    <t>CallUnAlliedNationToWar</t>
  </si>
  <si>
    <t>SabotageRelationsInfluenceCostPerTurn</t>
  </si>
  <si>
    <t>ImproveRelationsInfluenceCostPerTurn</t>
  </si>
  <si>
    <t>LeaveAllyWar</t>
  </si>
  <si>
    <t>FreeVassal/Tributary/Protectorate</t>
  </si>
  <si>
    <t>OfferVassalization</t>
  </si>
  <si>
    <t>OfferTributary</t>
  </si>
  <si>
    <t>OfferProtectorate</t>
  </si>
  <si>
    <t>DemandVassalization</t>
  </si>
  <si>
    <t>DemandTributary</t>
  </si>
  <si>
    <t>DemandProtectorate</t>
  </si>
  <si>
    <t>OpenSelfProvinceForThruTraderoute</t>
  </si>
  <si>
    <t>CloseSelfProvinceForThruTraderoute</t>
  </si>
  <si>
    <t>OpenTargetProvinceForThruTraderoute</t>
  </si>
  <si>
    <t>CloseTargetProvinceForThruTraderoute</t>
  </si>
  <si>
    <t>0.1--&gt;1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</si>
</sst>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1" numFmtId="2" xfId="0" applyFont="1" applyNumberFormat="1"/>
    <xf borderId="4" fillId="0" fontId="1" numFmtId="2" xfId="0" applyAlignment="1" applyBorder="1" applyFont="1" applyNumberFormat="1">
      <alignment readingOrder="0"/>
    </xf>
    <xf borderId="0" fillId="0" fontId="1" numFmtId="2" xfId="0" applyAlignment="1" applyFont="1" applyNumberFormat="1">
      <alignment horizontal="center"/>
    </xf>
    <xf borderId="5" fillId="0" fontId="1" numFmtId="2" xfId="0" applyBorder="1" applyFont="1" applyNumberFormat="1"/>
    <xf borderId="0" fillId="0" fontId="1" numFmtId="2" xfId="0" applyAlignment="1" applyFont="1" applyNumberForma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readingOrder="0"/>
    </xf>
    <xf borderId="6" fillId="0" fontId="1" numFmtId="2" xfId="0" applyAlignment="1" applyBorder="1" applyFont="1" applyNumberFormat="1">
      <alignment readingOrder="0"/>
    </xf>
    <xf borderId="7" fillId="0" fontId="1" numFmtId="2" xfId="0" applyAlignment="1" applyBorder="1" applyFont="1" applyNumberFormat="1">
      <alignment readingOrder="0"/>
    </xf>
    <xf borderId="7" fillId="0" fontId="1" numFmtId="2" xfId="0" applyBorder="1" applyFont="1" applyNumberFormat="1"/>
    <xf borderId="7" fillId="0" fontId="1" numFmtId="2" xfId="0" applyAlignment="1" applyBorder="1" applyFont="1" applyNumberFormat="1">
      <alignment horizontal="center"/>
    </xf>
    <xf borderId="8" fillId="0" fontId="1" numFmtId="2" xfId="0" applyBorder="1" applyFont="1" applyNumberFormat="1"/>
    <xf borderId="6" fillId="0" fontId="1" numFmtId="0" xfId="0" applyAlignment="1" applyBorder="1" applyFont="1">
      <alignment readingOrder="0"/>
    </xf>
    <xf borderId="7" fillId="0" fontId="1" numFmtId="2" xfId="0" applyAlignment="1" applyBorder="1" applyFont="1" applyNumberFormat="1">
      <alignment horizontal="center" readingOrder="0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25"/>
    <col customWidth="1" min="6" max="7" width="22.13"/>
    <col customWidth="1" min="8" max="10" width="33.38"/>
    <col customWidth="1" min="13" max="13" width="23.88"/>
    <col customWidth="1" min="14" max="15" width="24.75"/>
    <col customWidth="1" min="16" max="17" width="30.38"/>
    <col customWidth="1" min="22" max="22" width="20.75"/>
    <col customWidth="1" min="23" max="23" width="8.63"/>
    <col customWidth="1" min="24" max="24" width="17.5"/>
    <col customWidth="1" min="25" max="26" width="15.63"/>
  </cols>
  <sheetData>
    <row r="2">
      <c r="H2" s="1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1" t="s">
        <v>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>
      <c r="A3" s="5" t="s">
        <v>2</v>
      </c>
      <c r="B3" s="5" t="s">
        <v>3</v>
      </c>
      <c r="C3" s="6" t="s">
        <v>4</v>
      </c>
      <c r="D3" s="6" t="s">
        <v>5</v>
      </c>
      <c r="E3" s="5" t="s">
        <v>6</v>
      </c>
      <c r="F3" s="5" t="s">
        <v>7</v>
      </c>
      <c r="G3" s="5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4" t="s">
        <v>19</v>
      </c>
      <c r="S3" s="4" t="s">
        <v>20</v>
      </c>
      <c r="T3" s="8" t="s">
        <v>21</v>
      </c>
      <c r="U3" s="8" t="s">
        <v>22</v>
      </c>
      <c r="V3" s="9" t="s">
        <v>23</v>
      </c>
      <c r="W3" s="4"/>
      <c r="X3" s="10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11" t="s">
        <v>38</v>
      </c>
    </row>
    <row r="4">
      <c r="A4" s="12">
        <v>0.0</v>
      </c>
      <c r="B4" s="5">
        <v>0.0</v>
      </c>
      <c r="C4" s="6">
        <f t="shared" ref="C4:C104" si="3">(B4*0.05^0.6)+0.5</f>
        <v>0.5</v>
      </c>
      <c r="D4" s="6">
        <f t="shared" ref="D4:D104" si="4">(B4*0.2^0.4)+1</f>
        <v>1</v>
      </c>
      <c r="E4" s="13">
        <f t="shared" ref="E4:F4" si="1">D4*1.25</f>
        <v>1.25</v>
      </c>
      <c r="F4" s="13">
        <f t="shared" si="1"/>
        <v>1.5625</v>
      </c>
      <c r="G4" s="13">
        <f t="shared" ref="G4:G104" si="6">F4*1.5</f>
        <v>2.34375</v>
      </c>
      <c r="H4" s="14">
        <f t="shared" ref="H4:H104" si="7">(B4/5)+2</f>
        <v>2</v>
      </c>
      <c r="I4" s="6"/>
      <c r="J4" s="6">
        <f t="shared" ref="J4:J104" si="8">(B4/5)+2+IF($A$4&gt;0,$A$4)</f>
        <v>2</v>
      </c>
      <c r="K4" s="13">
        <f>B4*1.15+1+IF($A$4&gt;0,$A$4*4)</f>
        <v>1</v>
      </c>
      <c r="L4" s="13">
        <f>B4*1.25+2.5+IF($A$4&gt;0,$A$4*4)</f>
        <v>2.5</v>
      </c>
      <c r="M4" s="15">
        <f t="shared" ref="M4:M104" si="9">B4+10+IF($A$4&gt;0,$A$4+3*4)</f>
        <v>10</v>
      </c>
      <c r="N4" s="13">
        <f t="shared" ref="N4:O4" si="2">M4*0.8</f>
        <v>8</v>
      </c>
      <c r="O4" s="13">
        <f t="shared" si="2"/>
        <v>6.4</v>
      </c>
      <c r="P4" s="6">
        <f t="shared" ref="P4:P104" si="11">B4+1+IF($A$4&gt;0,$A$4/2)</f>
        <v>1</v>
      </c>
      <c r="Q4" s="13">
        <f t="shared" ref="Q4:Q104" si="12">P4</f>
        <v>1</v>
      </c>
      <c r="R4" s="13">
        <f t="shared" ref="R4:R104" si="13">B4+1*IF($A$4&gt;0,$A$4*3,1)</f>
        <v>1</v>
      </c>
      <c r="S4" s="13">
        <f t="shared" ref="S4:S104" si="14">R4</f>
        <v>1</v>
      </c>
      <c r="T4" s="13">
        <f t="shared" ref="T4:T104" si="15">B4+3+IF($A$4&gt;0,($A$4+1)*5)</f>
        <v>3</v>
      </c>
      <c r="U4" s="13">
        <f t="shared" ref="U4:U104" si="16">T4*1.15</f>
        <v>3.45</v>
      </c>
      <c r="V4" s="16">
        <f t="shared" ref="V4:V104" si="17">T4*2</f>
        <v>6</v>
      </c>
      <c r="X4" s="7">
        <f t="shared" ref="X4:X104" si="18">150-B4</f>
        <v>150</v>
      </c>
      <c r="Y4" s="17" t="s">
        <v>39</v>
      </c>
      <c r="Z4" s="17" t="s">
        <v>39</v>
      </c>
      <c r="AA4" s="15">
        <f t="shared" ref="AA4:AA104" si="19">B4*2.5</f>
        <v>0</v>
      </c>
      <c r="AB4" s="15">
        <f t="shared" ref="AB4:AB104" si="20">((B4+1)/4)</f>
        <v>0.25</v>
      </c>
      <c r="AC4" s="18">
        <f t="shared" ref="AC4:AC104" si="21">2+IF(50-B4&gt;0,50-B4,0)+IF($A$4&gt;0,$A$4/4)</f>
        <v>52</v>
      </c>
      <c r="AD4" s="13">
        <f t="shared" ref="AD4:AD104" si="22">AC4/2.5</f>
        <v>20.8</v>
      </c>
      <c r="AE4" s="13">
        <f t="shared" ref="AE4:AE104" si="23">AC4/1.75</f>
        <v>29.71428571</v>
      </c>
      <c r="AF4" s="13">
        <f t="shared" ref="AF4:AF104" si="24">(100-B4)+(1+$A$4*3)</f>
        <v>101</v>
      </c>
      <c r="AG4" s="13">
        <f t="shared" ref="AG4:AG104" si="25">AF4/1.75</f>
        <v>57.71428571</v>
      </c>
      <c r="AH4" s="13">
        <f t="shared" ref="AH4:AH104" si="26">AF4/2.5</f>
        <v>40.4</v>
      </c>
      <c r="AI4" s="6">
        <v>1.0</v>
      </c>
      <c r="AJ4" s="6">
        <v>1.0</v>
      </c>
      <c r="AK4" s="13">
        <f t="shared" ref="AK4:AK104" si="27">(1+(10-B4/10))/4</f>
        <v>2.75</v>
      </c>
      <c r="AL4" s="16">
        <f t="shared" ref="AL4:AL104" si="28">AK4</f>
        <v>2.75</v>
      </c>
    </row>
    <row r="5">
      <c r="A5" s="12"/>
      <c r="B5" s="5">
        <v>1.0</v>
      </c>
      <c r="C5" s="6">
        <f t="shared" si="3"/>
        <v>0.6657227009</v>
      </c>
      <c r="D5" s="6">
        <f t="shared" si="4"/>
        <v>1.525305561</v>
      </c>
      <c r="E5" s="13">
        <f t="shared" ref="E5:F5" si="5">D5*1.25</f>
        <v>1.906631951</v>
      </c>
      <c r="F5" s="13">
        <f t="shared" si="5"/>
        <v>2.383289939</v>
      </c>
      <c r="G5" s="13">
        <f t="shared" si="6"/>
        <v>3.574934908</v>
      </c>
      <c r="H5" s="14">
        <f t="shared" si="7"/>
        <v>2.2</v>
      </c>
      <c r="I5" s="6"/>
      <c r="J5" s="6">
        <f t="shared" si="8"/>
        <v>2.2</v>
      </c>
      <c r="K5" s="13">
        <f t="shared" ref="K5:K104" si="30">B5*1.15+1+IF($A$4&gt;0,$A$4*3)</f>
        <v>2.15</v>
      </c>
      <c r="L5" s="13">
        <f t="shared" ref="L5:L104" si="31">B5*1.25+2.5+IF($A$4&gt;0,$A$4*3)</f>
        <v>3.75</v>
      </c>
      <c r="M5" s="15">
        <f t="shared" si="9"/>
        <v>11</v>
      </c>
      <c r="N5" s="13">
        <f t="shared" ref="N5:O5" si="10">M5*0.8</f>
        <v>8.8</v>
      </c>
      <c r="O5" s="13">
        <f t="shared" si="10"/>
        <v>7.04</v>
      </c>
      <c r="P5" s="6">
        <f t="shared" si="11"/>
        <v>2</v>
      </c>
      <c r="Q5" s="13">
        <f t="shared" si="12"/>
        <v>2</v>
      </c>
      <c r="R5" s="13">
        <f t="shared" si="13"/>
        <v>2</v>
      </c>
      <c r="S5" s="13">
        <f t="shared" si="14"/>
        <v>2</v>
      </c>
      <c r="T5" s="13">
        <f t="shared" si="15"/>
        <v>4</v>
      </c>
      <c r="U5" s="13">
        <f t="shared" si="16"/>
        <v>4.6</v>
      </c>
      <c r="V5" s="16">
        <f t="shared" si="17"/>
        <v>8</v>
      </c>
      <c r="X5" s="7">
        <f t="shared" si="18"/>
        <v>149</v>
      </c>
      <c r="Y5" s="17" t="s">
        <v>39</v>
      </c>
      <c r="Z5" s="17" t="s">
        <v>39</v>
      </c>
      <c r="AA5" s="15">
        <f t="shared" si="19"/>
        <v>2.5</v>
      </c>
      <c r="AB5" s="15">
        <f t="shared" si="20"/>
        <v>0.5</v>
      </c>
      <c r="AC5" s="18">
        <f t="shared" si="21"/>
        <v>51</v>
      </c>
      <c r="AD5" s="13">
        <f t="shared" si="22"/>
        <v>20.4</v>
      </c>
      <c r="AE5" s="13">
        <f t="shared" si="23"/>
        <v>29.14285714</v>
      </c>
      <c r="AF5" s="13">
        <f t="shared" si="24"/>
        <v>100</v>
      </c>
      <c r="AG5" s="13">
        <f t="shared" si="25"/>
        <v>57.14285714</v>
      </c>
      <c r="AH5" s="13">
        <f t="shared" si="26"/>
        <v>40</v>
      </c>
      <c r="AI5" s="6">
        <v>1.0</v>
      </c>
      <c r="AJ5" s="6">
        <v>1.0</v>
      </c>
      <c r="AK5" s="13">
        <f t="shared" si="27"/>
        <v>2.725</v>
      </c>
      <c r="AL5" s="16">
        <f t="shared" si="28"/>
        <v>2.725</v>
      </c>
    </row>
    <row r="6">
      <c r="A6" s="19"/>
      <c r="B6" s="5">
        <v>2.0</v>
      </c>
      <c r="C6" s="6">
        <f t="shared" si="3"/>
        <v>0.8314454017</v>
      </c>
      <c r="D6" s="6">
        <f t="shared" si="4"/>
        <v>2.050611122</v>
      </c>
      <c r="E6" s="13">
        <f t="shared" ref="E6:F6" si="29">D6*1.25</f>
        <v>2.563263902</v>
      </c>
      <c r="F6" s="13">
        <f t="shared" si="29"/>
        <v>3.204079878</v>
      </c>
      <c r="G6" s="13">
        <f t="shared" si="6"/>
        <v>4.806119817</v>
      </c>
      <c r="H6" s="14">
        <f t="shared" si="7"/>
        <v>2.4</v>
      </c>
      <c r="I6" s="6"/>
      <c r="J6" s="6">
        <f t="shared" si="8"/>
        <v>2.4</v>
      </c>
      <c r="K6" s="13">
        <f t="shared" si="30"/>
        <v>3.3</v>
      </c>
      <c r="L6" s="13">
        <f t="shared" si="31"/>
        <v>5</v>
      </c>
      <c r="M6" s="15">
        <f t="shared" si="9"/>
        <v>12</v>
      </c>
      <c r="N6" s="13">
        <f t="shared" ref="N6:O6" si="32">M6*0.8</f>
        <v>9.6</v>
      </c>
      <c r="O6" s="13">
        <f t="shared" si="32"/>
        <v>7.68</v>
      </c>
      <c r="P6" s="6">
        <f t="shared" si="11"/>
        <v>3</v>
      </c>
      <c r="Q6" s="13">
        <f t="shared" si="12"/>
        <v>3</v>
      </c>
      <c r="R6" s="13">
        <f t="shared" si="13"/>
        <v>3</v>
      </c>
      <c r="S6" s="13">
        <f t="shared" si="14"/>
        <v>3</v>
      </c>
      <c r="T6" s="13">
        <f t="shared" si="15"/>
        <v>5</v>
      </c>
      <c r="U6" s="13">
        <f t="shared" si="16"/>
        <v>5.75</v>
      </c>
      <c r="V6" s="16">
        <f t="shared" si="17"/>
        <v>10</v>
      </c>
      <c r="X6" s="7">
        <f t="shared" si="18"/>
        <v>148</v>
      </c>
      <c r="Y6" s="17" t="s">
        <v>39</v>
      </c>
      <c r="Z6" s="17" t="s">
        <v>39</v>
      </c>
      <c r="AA6" s="15">
        <f t="shared" si="19"/>
        <v>5</v>
      </c>
      <c r="AB6" s="15">
        <f t="shared" si="20"/>
        <v>0.75</v>
      </c>
      <c r="AC6" s="18">
        <f t="shared" si="21"/>
        <v>50</v>
      </c>
      <c r="AD6" s="13">
        <f t="shared" si="22"/>
        <v>20</v>
      </c>
      <c r="AE6" s="13">
        <f t="shared" si="23"/>
        <v>28.57142857</v>
      </c>
      <c r="AF6" s="13">
        <f t="shared" si="24"/>
        <v>99</v>
      </c>
      <c r="AG6" s="13">
        <f t="shared" si="25"/>
        <v>56.57142857</v>
      </c>
      <c r="AH6" s="13">
        <f t="shared" si="26"/>
        <v>39.6</v>
      </c>
      <c r="AI6" s="6">
        <v>1.0</v>
      </c>
      <c r="AJ6" s="6">
        <v>1.0</v>
      </c>
      <c r="AK6" s="13">
        <f t="shared" si="27"/>
        <v>2.7</v>
      </c>
      <c r="AL6" s="16">
        <f t="shared" si="28"/>
        <v>2.7</v>
      </c>
    </row>
    <row r="7">
      <c r="A7" s="19"/>
      <c r="B7" s="5">
        <v>3.0</v>
      </c>
      <c r="C7" s="6">
        <f t="shared" si="3"/>
        <v>0.9971681026</v>
      </c>
      <c r="D7" s="6">
        <f t="shared" si="4"/>
        <v>2.575916683</v>
      </c>
      <c r="E7" s="13">
        <f t="shared" ref="E7:F7" si="33">D7*1.25</f>
        <v>3.219895853</v>
      </c>
      <c r="F7" s="13">
        <f t="shared" si="33"/>
        <v>4.024869817</v>
      </c>
      <c r="G7" s="13">
        <f t="shared" si="6"/>
        <v>6.037304725</v>
      </c>
      <c r="H7" s="14">
        <f t="shared" si="7"/>
        <v>2.6</v>
      </c>
      <c r="I7" s="6"/>
      <c r="J7" s="6">
        <f t="shared" si="8"/>
        <v>2.6</v>
      </c>
      <c r="K7" s="13">
        <f t="shared" si="30"/>
        <v>4.45</v>
      </c>
      <c r="L7" s="13">
        <f t="shared" si="31"/>
        <v>6.25</v>
      </c>
      <c r="M7" s="15">
        <f t="shared" si="9"/>
        <v>13</v>
      </c>
      <c r="N7" s="13">
        <f t="shared" ref="N7:O7" si="34">M7*0.8</f>
        <v>10.4</v>
      </c>
      <c r="O7" s="13">
        <f t="shared" si="34"/>
        <v>8.32</v>
      </c>
      <c r="P7" s="6">
        <f t="shared" si="11"/>
        <v>4</v>
      </c>
      <c r="Q7" s="13">
        <f t="shared" si="12"/>
        <v>4</v>
      </c>
      <c r="R7" s="13">
        <f t="shared" si="13"/>
        <v>4</v>
      </c>
      <c r="S7" s="13">
        <f t="shared" si="14"/>
        <v>4</v>
      </c>
      <c r="T7" s="13">
        <f t="shared" si="15"/>
        <v>6</v>
      </c>
      <c r="U7" s="13">
        <f t="shared" si="16"/>
        <v>6.9</v>
      </c>
      <c r="V7" s="16">
        <f t="shared" si="17"/>
        <v>12</v>
      </c>
      <c r="X7" s="7">
        <f t="shared" si="18"/>
        <v>147</v>
      </c>
      <c r="Y7" s="17" t="s">
        <v>39</v>
      </c>
      <c r="Z7" s="17" t="s">
        <v>39</v>
      </c>
      <c r="AA7" s="15">
        <f t="shared" si="19"/>
        <v>7.5</v>
      </c>
      <c r="AB7" s="15">
        <f t="shared" si="20"/>
        <v>1</v>
      </c>
      <c r="AC7" s="18">
        <f t="shared" si="21"/>
        <v>49</v>
      </c>
      <c r="AD7" s="13">
        <f t="shared" si="22"/>
        <v>19.6</v>
      </c>
      <c r="AE7" s="13">
        <f t="shared" si="23"/>
        <v>28</v>
      </c>
      <c r="AF7" s="13">
        <f t="shared" si="24"/>
        <v>98</v>
      </c>
      <c r="AG7" s="13">
        <f t="shared" si="25"/>
        <v>56</v>
      </c>
      <c r="AH7" s="13">
        <f t="shared" si="26"/>
        <v>39.2</v>
      </c>
      <c r="AI7" s="6">
        <v>1.0</v>
      </c>
      <c r="AJ7" s="6">
        <v>1.0</v>
      </c>
      <c r="AK7" s="13">
        <f t="shared" si="27"/>
        <v>2.675</v>
      </c>
      <c r="AL7" s="16">
        <f t="shared" si="28"/>
        <v>2.675</v>
      </c>
    </row>
    <row r="8">
      <c r="A8" s="19"/>
      <c r="B8" s="5">
        <v>4.0</v>
      </c>
      <c r="C8" s="6">
        <f t="shared" si="3"/>
        <v>1.162890803</v>
      </c>
      <c r="D8" s="6">
        <f t="shared" si="4"/>
        <v>3.101222244</v>
      </c>
      <c r="E8" s="13">
        <f t="shared" ref="E8:F8" si="35">D8*1.25</f>
        <v>3.876527804</v>
      </c>
      <c r="F8" s="13">
        <f t="shared" si="35"/>
        <v>4.845659756</v>
      </c>
      <c r="G8" s="13">
        <f t="shared" si="6"/>
        <v>7.268489633</v>
      </c>
      <c r="H8" s="14">
        <f t="shared" si="7"/>
        <v>2.8</v>
      </c>
      <c r="I8" s="6"/>
      <c r="J8" s="6">
        <f t="shared" si="8"/>
        <v>2.8</v>
      </c>
      <c r="K8" s="13">
        <f t="shared" si="30"/>
        <v>5.6</v>
      </c>
      <c r="L8" s="13">
        <f t="shared" si="31"/>
        <v>7.5</v>
      </c>
      <c r="M8" s="15">
        <f t="shared" si="9"/>
        <v>14</v>
      </c>
      <c r="N8" s="13">
        <f t="shared" ref="N8:O8" si="36">M8*0.8</f>
        <v>11.2</v>
      </c>
      <c r="O8" s="13">
        <f t="shared" si="36"/>
        <v>8.96</v>
      </c>
      <c r="P8" s="6">
        <f t="shared" si="11"/>
        <v>5</v>
      </c>
      <c r="Q8" s="13">
        <f t="shared" si="12"/>
        <v>5</v>
      </c>
      <c r="R8" s="13">
        <f t="shared" si="13"/>
        <v>5</v>
      </c>
      <c r="S8" s="13">
        <f t="shared" si="14"/>
        <v>5</v>
      </c>
      <c r="T8" s="13">
        <f t="shared" si="15"/>
        <v>7</v>
      </c>
      <c r="U8" s="13">
        <f t="shared" si="16"/>
        <v>8.05</v>
      </c>
      <c r="V8" s="16">
        <f t="shared" si="17"/>
        <v>14</v>
      </c>
      <c r="X8" s="7">
        <f t="shared" si="18"/>
        <v>146</v>
      </c>
      <c r="Y8" s="17" t="s">
        <v>39</v>
      </c>
      <c r="Z8" s="17" t="s">
        <v>39</v>
      </c>
      <c r="AA8" s="15">
        <f t="shared" si="19"/>
        <v>10</v>
      </c>
      <c r="AB8" s="15">
        <f t="shared" si="20"/>
        <v>1.25</v>
      </c>
      <c r="AC8" s="18">
        <f t="shared" si="21"/>
        <v>48</v>
      </c>
      <c r="AD8" s="13">
        <f t="shared" si="22"/>
        <v>19.2</v>
      </c>
      <c r="AE8" s="13">
        <f t="shared" si="23"/>
        <v>27.42857143</v>
      </c>
      <c r="AF8" s="13">
        <f t="shared" si="24"/>
        <v>97</v>
      </c>
      <c r="AG8" s="13">
        <f t="shared" si="25"/>
        <v>55.42857143</v>
      </c>
      <c r="AH8" s="13">
        <f t="shared" si="26"/>
        <v>38.8</v>
      </c>
      <c r="AI8" s="6">
        <v>1.0</v>
      </c>
      <c r="AJ8" s="6">
        <v>1.0</v>
      </c>
      <c r="AK8" s="13">
        <f t="shared" si="27"/>
        <v>2.65</v>
      </c>
      <c r="AL8" s="16">
        <f t="shared" si="28"/>
        <v>2.65</v>
      </c>
    </row>
    <row r="9">
      <c r="A9" s="19"/>
      <c r="B9" s="5">
        <v>5.0</v>
      </c>
      <c r="C9" s="6">
        <f t="shared" si="3"/>
        <v>1.328613504</v>
      </c>
      <c r="D9" s="6">
        <f t="shared" si="4"/>
        <v>3.626527804</v>
      </c>
      <c r="E9" s="13">
        <f t="shared" ref="E9:F9" si="37">D9*1.25</f>
        <v>4.533159756</v>
      </c>
      <c r="F9" s="13">
        <f t="shared" si="37"/>
        <v>5.666449694</v>
      </c>
      <c r="G9" s="13">
        <f t="shared" si="6"/>
        <v>8.499674542</v>
      </c>
      <c r="H9" s="14">
        <f t="shared" si="7"/>
        <v>3</v>
      </c>
      <c r="I9" s="6"/>
      <c r="J9" s="6">
        <f t="shared" si="8"/>
        <v>3</v>
      </c>
      <c r="K9" s="13">
        <f t="shared" si="30"/>
        <v>6.75</v>
      </c>
      <c r="L9" s="13">
        <f t="shared" si="31"/>
        <v>8.75</v>
      </c>
      <c r="M9" s="15">
        <f t="shared" si="9"/>
        <v>15</v>
      </c>
      <c r="N9" s="13">
        <f t="shared" ref="N9:O9" si="38">M9*0.8</f>
        <v>12</v>
      </c>
      <c r="O9" s="13">
        <f t="shared" si="38"/>
        <v>9.6</v>
      </c>
      <c r="P9" s="6">
        <f t="shared" si="11"/>
        <v>6</v>
      </c>
      <c r="Q9" s="13">
        <f t="shared" si="12"/>
        <v>6</v>
      </c>
      <c r="R9" s="13">
        <f t="shared" si="13"/>
        <v>6</v>
      </c>
      <c r="S9" s="13">
        <f t="shared" si="14"/>
        <v>6</v>
      </c>
      <c r="T9" s="13">
        <f t="shared" si="15"/>
        <v>8</v>
      </c>
      <c r="U9" s="13">
        <f t="shared" si="16"/>
        <v>9.2</v>
      </c>
      <c r="V9" s="16">
        <f t="shared" si="17"/>
        <v>16</v>
      </c>
      <c r="X9" s="7">
        <f t="shared" si="18"/>
        <v>145</v>
      </c>
      <c r="Y9" s="17" t="s">
        <v>39</v>
      </c>
      <c r="Z9" s="17" t="s">
        <v>39</v>
      </c>
      <c r="AA9" s="15">
        <f t="shared" si="19"/>
        <v>12.5</v>
      </c>
      <c r="AB9" s="15">
        <f t="shared" si="20"/>
        <v>1.5</v>
      </c>
      <c r="AC9" s="18">
        <f t="shared" si="21"/>
        <v>47</v>
      </c>
      <c r="AD9" s="13">
        <f t="shared" si="22"/>
        <v>18.8</v>
      </c>
      <c r="AE9" s="13">
        <f t="shared" si="23"/>
        <v>26.85714286</v>
      </c>
      <c r="AF9" s="13">
        <f t="shared" si="24"/>
        <v>96</v>
      </c>
      <c r="AG9" s="13">
        <f t="shared" si="25"/>
        <v>54.85714286</v>
      </c>
      <c r="AH9" s="13">
        <f t="shared" si="26"/>
        <v>38.4</v>
      </c>
      <c r="AI9" s="6">
        <v>1.0</v>
      </c>
      <c r="AJ9" s="6">
        <v>1.0</v>
      </c>
      <c r="AK9" s="13">
        <f t="shared" si="27"/>
        <v>2.625</v>
      </c>
      <c r="AL9" s="16">
        <f t="shared" si="28"/>
        <v>2.625</v>
      </c>
    </row>
    <row r="10">
      <c r="A10" s="19"/>
      <c r="B10" s="5">
        <v>6.0</v>
      </c>
      <c r="C10" s="6">
        <f t="shared" si="3"/>
        <v>1.494336205</v>
      </c>
      <c r="D10" s="6">
        <f t="shared" si="4"/>
        <v>4.151833365</v>
      </c>
      <c r="E10" s="13">
        <f t="shared" ref="E10:F10" si="39">D10*1.25</f>
        <v>5.189791707</v>
      </c>
      <c r="F10" s="13">
        <f t="shared" si="39"/>
        <v>6.487239633</v>
      </c>
      <c r="G10" s="13">
        <f t="shared" si="6"/>
        <v>9.73085945</v>
      </c>
      <c r="H10" s="14">
        <f t="shared" si="7"/>
        <v>3.2</v>
      </c>
      <c r="I10" s="6"/>
      <c r="J10" s="6">
        <f t="shared" si="8"/>
        <v>3.2</v>
      </c>
      <c r="K10" s="13">
        <f t="shared" si="30"/>
        <v>7.9</v>
      </c>
      <c r="L10" s="13">
        <f t="shared" si="31"/>
        <v>10</v>
      </c>
      <c r="M10" s="15">
        <f t="shared" si="9"/>
        <v>16</v>
      </c>
      <c r="N10" s="13">
        <f t="shared" ref="N10:O10" si="40">M10*0.8</f>
        <v>12.8</v>
      </c>
      <c r="O10" s="13">
        <f t="shared" si="40"/>
        <v>10.24</v>
      </c>
      <c r="P10" s="6">
        <f t="shared" si="11"/>
        <v>7</v>
      </c>
      <c r="Q10" s="13">
        <f t="shared" si="12"/>
        <v>7</v>
      </c>
      <c r="R10" s="13">
        <f t="shared" si="13"/>
        <v>7</v>
      </c>
      <c r="S10" s="13">
        <f t="shared" si="14"/>
        <v>7</v>
      </c>
      <c r="T10" s="13">
        <f t="shared" si="15"/>
        <v>9</v>
      </c>
      <c r="U10" s="13">
        <f t="shared" si="16"/>
        <v>10.35</v>
      </c>
      <c r="V10" s="16">
        <f t="shared" si="17"/>
        <v>18</v>
      </c>
      <c r="X10" s="7">
        <f t="shared" si="18"/>
        <v>144</v>
      </c>
      <c r="Y10" s="17" t="s">
        <v>39</v>
      </c>
      <c r="Z10" s="17" t="s">
        <v>39</v>
      </c>
      <c r="AA10" s="15">
        <f t="shared" si="19"/>
        <v>15</v>
      </c>
      <c r="AB10" s="15">
        <f t="shared" si="20"/>
        <v>1.75</v>
      </c>
      <c r="AC10" s="18">
        <f t="shared" si="21"/>
        <v>46</v>
      </c>
      <c r="AD10" s="13">
        <f t="shared" si="22"/>
        <v>18.4</v>
      </c>
      <c r="AE10" s="13">
        <f t="shared" si="23"/>
        <v>26.28571429</v>
      </c>
      <c r="AF10" s="13">
        <f t="shared" si="24"/>
        <v>95</v>
      </c>
      <c r="AG10" s="13">
        <f t="shared" si="25"/>
        <v>54.28571429</v>
      </c>
      <c r="AH10" s="13">
        <f t="shared" si="26"/>
        <v>38</v>
      </c>
      <c r="AI10" s="6">
        <v>1.0</v>
      </c>
      <c r="AJ10" s="6">
        <v>1.0</v>
      </c>
      <c r="AK10" s="13">
        <f t="shared" si="27"/>
        <v>2.6</v>
      </c>
      <c r="AL10" s="16">
        <f t="shared" si="28"/>
        <v>2.6</v>
      </c>
    </row>
    <row r="11">
      <c r="A11" s="19"/>
      <c r="B11" s="5">
        <v>7.0</v>
      </c>
      <c r="C11" s="6">
        <f t="shared" si="3"/>
        <v>1.660058906</v>
      </c>
      <c r="D11" s="6">
        <f t="shared" si="4"/>
        <v>4.677138926</v>
      </c>
      <c r="E11" s="13">
        <f t="shared" ref="E11:F11" si="41">D11*1.25</f>
        <v>5.846423658</v>
      </c>
      <c r="F11" s="13">
        <f t="shared" si="41"/>
        <v>7.308029572</v>
      </c>
      <c r="G11" s="13">
        <f t="shared" si="6"/>
        <v>10.96204436</v>
      </c>
      <c r="H11" s="14">
        <f t="shared" si="7"/>
        <v>3.4</v>
      </c>
      <c r="I11" s="6"/>
      <c r="J11" s="6">
        <f t="shared" si="8"/>
        <v>3.4</v>
      </c>
      <c r="K11" s="13">
        <f t="shared" si="30"/>
        <v>9.05</v>
      </c>
      <c r="L11" s="13">
        <f t="shared" si="31"/>
        <v>11.25</v>
      </c>
      <c r="M11" s="15">
        <f t="shared" si="9"/>
        <v>17</v>
      </c>
      <c r="N11" s="13">
        <f t="shared" ref="N11:O11" si="42">M11*0.8</f>
        <v>13.6</v>
      </c>
      <c r="O11" s="13">
        <f t="shared" si="42"/>
        <v>10.88</v>
      </c>
      <c r="P11" s="6">
        <f t="shared" si="11"/>
        <v>8</v>
      </c>
      <c r="Q11" s="13">
        <f t="shared" si="12"/>
        <v>8</v>
      </c>
      <c r="R11" s="13">
        <f t="shared" si="13"/>
        <v>8</v>
      </c>
      <c r="S11" s="13">
        <f t="shared" si="14"/>
        <v>8</v>
      </c>
      <c r="T11" s="13">
        <f t="shared" si="15"/>
        <v>10</v>
      </c>
      <c r="U11" s="13">
        <f t="shared" si="16"/>
        <v>11.5</v>
      </c>
      <c r="V11" s="16">
        <f t="shared" si="17"/>
        <v>20</v>
      </c>
      <c r="X11" s="7">
        <f t="shared" si="18"/>
        <v>143</v>
      </c>
      <c r="Y11" s="17" t="s">
        <v>39</v>
      </c>
      <c r="Z11" s="17" t="s">
        <v>39</v>
      </c>
      <c r="AA11" s="15">
        <f t="shared" si="19"/>
        <v>17.5</v>
      </c>
      <c r="AB11" s="15">
        <f t="shared" si="20"/>
        <v>2</v>
      </c>
      <c r="AC11" s="18">
        <f t="shared" si="21"/>
        <v>45</v>
      </c>
      <c r="AD11" s="13">
        <f t="shared" si="22"/>
        <v>18</v>
      </c>
      <c r="AE11" s="13">
        <f t="shared" si="23"/>
        <v>25.71428571</v>
      </c>
      <c r="AF11" s="13">
        <f t="shared" si="24"/>
        <v>94</v>
      </c>
      <c r="AG11" s="13">
        <f t="shared" si="25"/>
        <v>53.71428571</v>
      </c>
      <c r="AH11" s="13">
        <f t="shared" si="26"/>
        <v>37.6</v>
      </c>
      <c r="AI11" s="6">
        <v>1.0</v>
      </c>
      <c r="AJ11" s="6">
        <v>1.0</v>
      </c>
      <c r="AK11" s="13">
        <f t="shared" si="27"/>
        <v>2.575</v>
      </c>
      <c r="AL11" s="16">
        <f t="shared" si="28"/>
        <v>2.575</v>
      </c>
    </row>
    <row r="12">
      <c r="A12" s="19"/>
      <c r="B12" s="5">
        <v>8.0</v>
      </c>
      <c r="C12" s="6">
        <f t="shared" si="3"/>
        <v>1.825781607</v>
      </c>
      <c r="D12" s="6">
        <f t="shared" si="4"/>
        <v>5.202444487</v>
      </c>
      <c r="E12" s="13">
        <f t="shared" ref="E12:F12" si="43">D12*1.25</f>
        <v>6.503055609</v>
      </c>
      <c r="F12" s="13">
        <f t="shared" si="43"/>
        <v>8.128819511</v>
      </c>
      <c r="G12" s="13">
        <f t="shared" si="6"/>
        <v>12.19322927</v>
      </c>
      <c r="H12" s="14">
        <f t="shared" si="7"/>
        <v>3.6</v>
      </c>
      <c r="I12" s="6"/>
      <c r="J12" s="6">
        <f t="shared" si="8"/>
        <v>3.6</v>
      </c>
      <c r="K12" s="13">
        <f t="shared" si="30"/>
        <v>10.2</v>
      </c>
      <c r="L12" s="13">
        <f t="shared" si="31"/>
        <v>12.5</v>
      </c>
      <c r="M12" s="15">
        <f t="shared" si="9"/>
        <v>18</v>
      </c>
      <c r="N12" s="13">
        <f t="shared" ref="N12:O12" si="44">M12*0.8</f>
        <v>14.4</v>
      </c>
      <c r="O12" s="13">
        <f t="shared" si="44"/>
        <v>11.52</v>
      </c>
      <c r="P12" s="6">
        <f t="shared" si="11"/>
        <v>9</v>
      </c>
      <c r="Q12" s="13">
        <f t="shared" si="12"/>
        <v>9</v>
      </c>
      <c r="R12" s="13">
        <f t="shared" si="13"/>
        <v>9</v>
      </c>
      <c r="S12" s="13">
        <f t="shared" si="14"/>
        <v>9</v>
      </c>
      <c r="T12" s="13">
        <f t="shared" si="15"/>
        <v>11</v>
      </c>
      <c r="U12" s="13">
        <f t="shared" si="16"/>
        <v>12.65</v>
      </c>
      <c r="V12" s="16">
        <f t="shared" si="17"/>
        <v>22</v>
      </c>
      <c r="X12" s="7">
        <f t="shared" si="18"/>
        <v>142</v>
      </c>
      <c r="Y12" s="17" t="s">
        <v>39</v>
      </c>
      <c r="Z12" s="17" t="s">
        <v>39</v>
      </c>
      <c r="AA12" s="15">
        <f t="shared" si="19"/>
        <v>20</v>
      </c>
      <c r="AB12" s="15">
        <f t="shared" si="20"/>
        <v>2.25</v>
      </c>
      <c r="AC12" s="18">
        <f t="shared" si="21"/>
        <v>44</v>
      </c>
      <c r="AD12" s="13">
        <f t="shared" si="22"/>
        <v>17.6</v>
      </c>
      <c r="AE12" s="13">
        <f t="shared" si="23"/>
        <v>25.14285714</v>
      </c>
      <c r="AF12" s="13">
        <f t="shared" si="24"/>
        <v>93</v>
      </c>
      <c r="AG12" s="13">
        <f t="shared" si="25"/>
        <v>53.14285714</v>
      </c>
      <c r="AH12" s="13">
        <f t="shared" si="26"/>
        <v>37.2</v>
      </c>
      <c r="AI12" s="6">
        <v>1.0</v>
      </c>
      <c r="AJ12" s="6">
        <v>1.0</v>
      </c>
      <c r="AK12" s="13">
        <f t="shared" si="27"/>
        <v>2.55</v>
      </c>
      <c r="AL12" s="16">
        <f t="shared" si="28"/>
        <v>2.55</v>
      </c>
    </row>
    <row r="13">
      <c r="A13" s="19"/>
      <c r="B13" s="5">
        <v>9.0</v>
      </c>
      <c r="C13" s="6">
        <f t="shared" si="3"/>
        <v>1.991504308</v>
      </c>
      <c r="D13" s="6">
        <f t="shared" si="4"/>
        <v>5.727750048</v>
      </c>
      <c r="E13" s="13">
        <f t="shared" ref="E13:F13" si="45">D13*1.25</f>
        <v>7.15968756</v>
      </c>
      <c r="F13" s="13">
        <f t="shared" si="45"/>
        <v>8.94960945</v>
      </c>
      <c r="G13" s="13">
        <f t="shared" si="6"/>
        <v>13.42441417</v>
      </c>
      <c r="H13" s="14">
        <f t="shared" si="7"/>
        <v>3.8</v>
      </c>
      <c r="I13" s="6"/>
      <c r="J13" s="6">
        <f t="shared" si="8"/>
        <v>3.8</v>
      </c>
      <c r="K13" s="13">
        <f t="shared" si="30"/>
        <v>11.35</v>
      </c>
      <c r="L13" s="13">
        <f t="shared" si="31"/>
        <v>13.75</v>
      </c>
      <c r="M13" s="15">
        <f t="shared" si="9"/>
        <v>19</v>
      </c>
      <c r="N13" s="13">
        <f t="shared" ref="N13:O13" si="46">M13*0.8</f>
        <v>15.2</v>
      </c>
      <c r="O13" s="13">
        <f t="shared" si="46"/>
        <v>12.16</v>
      </c>
      <c r="P13" s="6">
        <f t="shared" si="11"/>
        <v>10</v>
      </c>
      <c r="Q13" s="13">
        <f t="shared" si="12"/>
        <v>10</v>
      </c>
      <c r="R13" s="13">
        <f t="shared" si="13"/>
        <v>10</v>
      </c>
      <c r="S13" s="13">
        <f t="shared" si="14"/>
        <v>10</v>
      </c>
      <c r="T13" s="13">
        <f t="shared" si="15"/>
        <v>12</v>
      </c>
      <c r="U13" s="13">
        <f t="shared" si="16"/>
        <v>13.8</v>
      </c>
      <c r="V13" s="16">
        <f t="shared" si="17"/>
        <v>24</v>
      </c>
      <c r="X13" s="7">
        <f t="shared" si="18"/>
        <v>141</v>
      </c>
      <c r="Y13" s="17" t="s">
        <v>39</v>
      </c>
      <c r="Z13" s="17" t="s">
        <v>39</v>
      </c>
      <c r="AA13" s="15">
        <f t="shared" si="19"/>
        <v>22.5</v>
      </c>
      <c r="AB13" s="15">
        <f t="shared" si="20"/>
        <v>2.5</v>
      </c>
      <c r="AC13" s="18">
        <f t="shared" si="21"/>
        <v>43</v>
      </c>
      <c r="AD13" s="13">
        <f t="shared" si="22"/>
        <v>17.2</v>
      </c>
      <c r="AE13" s="13">
        <f t="shared" si="23"/>
        <v>24.57142857</v>
      </c>
      <c r="AF13" s="13">
        <f t="shared" si="24"/>
        <v>92</v>
      </c>
      <c r="AG13" s="13">
        <f t="shared" si="25"/>
        <v>52.57142857</v>
      </c>
      <c r="AH13" s="13">
        <f t="shared" si="26"/>
        <v>36.8</v>
      </c>
      <c r="AI13" s="6">
        <v>1.0</v>
      </c>
      <c r="AJ13" s="6">
        <v>1.0</v>
      </c>
      <c r="AK13" s="13">
        <f t="shared" si="27"/>
        <v>2.525</v>
      </c>
      <c r="AL13" s="16">
        <f t="shared" si="28"/>
        <v>2.525</v>
      </c>
    </row>
    <row r="14">
      <c r="A14" s="19"/>
      <c r="B14" s="5">
        <v>10.0</v>
      </c>
      <c r="C14" s="6">
        <f t="shared" si="3"/>
        <v>2.157227009</v>
      </c>
      <c r="D14" s="6">
        <f t="shared" si="4"/>
        <v>6.253055609</v>
      </c>
      <c r="E14" s="13">
        <f t="shared" ref="E14:F14" si="47">D14*1.25</f>
        <v>7.816319511</v>
      </c>
      <c r="F14" s="13">
        <f t="shared" si="47"/>
        <v>9.770399389</v>
      </c>
      <c r="G14" s="13">
        <f t="shared" si="6"/>
        <v>14.65559908</v>
      </c>
      <c r="H14" s="14">
        <f t="shared" si="7"/>
        <v>4</v>
      </c>
      <c r="I14" s="6"/>
      <c r="J14" s="6">
        <f t="shared" si="8"/>
        <v>4</v>
      </c>
      <c r="K14" s="13">
        <f t="shared" si="30"/>
        <v>12.5</v>
      </c>
      <c r="L14" s="13">
        <f t="shared" si="31"/>
        <v>15</v>
      </c>
      <c r="M14" s="15">
        <f t="shared" si="9"/>
        <v>20</v>
      </c>
      <c r="N14" s="13">
        <f t="shared" ref="N14:O14" si="48">M14*0.8</f>
        <v>16</v>
      </c>
      <c r="O14" s="13">
        <f t="shared" si="48"/>
        <v>12.8</v>
      </c>
      <c r="P14" s="6">
        <f t="shared" si="11"/>
        <v>11</v>
      </c>
      <c r="Q14" s="13">
        <f t="shared" si="12"/>
        <v>11</v>
      </c>
      <c r="R14" s="13">
        <f t="shared" si="13"/>
        <v>11</v>
      </c>
      <c r="S14" s="13">
        <f t="shared" si="14"/>
        <v>11</v>
      </c>
      <c r="T14" s="13">
        <f t="shared" si="15"/>
        <v>13</v>
      </c>
      <c r="U14" s="13">
        <f t="shared" si="16"/>
        <v>14.95</v>
      </c>
      <c r="V14" s="16">
        <f t="shared" si="17"/>
        <v>26</v>
      </c>
      <c r="X14" s="7">
        <f t="shared" si="18"/>
        <v>140</v>
      </c>
      <c r="Y14" s="17" t="s">
        <v>39</v>
      </c>
      <c r="Z14" s="17" t="s">
        <v>39</v>
      </c>
      <c r="AA14" s="15">
        <f t="shared" si="19"/>
        <v>25</v>
      </c>
      <c r="AB14" s="15">
        <f t="shared" si="20"/>
        <v>2.75</v>
      </c>
      <c r="AC14" s="18">
        <f t="shared" si="21"/>
        <v>42</v>
      </c>
      <c r="AD14" s="13">
        <f t="shared" si="22"/>
        <v>16.8</v>
      </c>
      <c r="AE14" s="13">
        <f t="shared" si="23"/>
        <v>24</v>
      </c>
      <c r="AF14" s="13">
        <f t="shared" si="24"/>
        <v>91</v>
      </c>
      <c r="AG14" s="13">
        <f t="shared" si="25"/>
        <v>52</v>
      </c>
      <c r="AH14" s="13">
        <f t="shared" si="26"/>
        <v>36.4</v>
      </c>
      <c r="AI14" s="6">
        <v>1.0</v>
      </c>
      <c r="AJ14" s="6">
        <v>1.0</v>
      </c>
      <c r="AK14" s="13">
        <f t="shared" si="27"/>
        <v>2.5</v>
      </c>
      <c r="AL14" s="16">
        <f t="shared" si="28"/>
        <v>2.5</v>
      </c>
    </row>
    <row r="15">
      <c r="A15" s="19"/>
      <c r="B15" s="5">
        <v>11.0</v>
      </c>
      <c r="C15" s="6">
        <f t="shared" si="3"/>
        <v>2.32294971</v>
      </c>
      <c r="D15" s="6">
        <f t="shared" si="4"/>
        <v>6.77836117</v>
      </c>
      <c r="E15" s="13">
        <f t="shared" ref="E15:F15" si="49">D15*1.25</f>
        <v>8.472951462</v>
      </c>
      <c r="F15" s="13">
        <f t="shared" si="49"/>
        <v>10.59118933</v>
      </c>
      <c r="G15" s="13">
        <f t="shared" si="6"/>
        <v>15.88678399</v>
      </c>
      <c r="H15" s="14">
        <f t="shared" si="7"/>
        <v>4.2</v>
      </c>
      <c r="I15" s="6"/>
      <c r="J15" s="6">
        <f t="shared" si="8"/>
        <v>4.2</v>
      </c>
      <c r="K15" s="13">
        <f t="shared" si="30"/>
        <v>13.65</v>
      </c>
      <c r="L15" s="13">
        <f t="shared" si="31"/>
        <v>16.25</v>
      </c>
      <c r="M15" s="15">
        <f t="shared" si="9"/>
        <v>21</v>
      </c>
      <c r="N15" s="13">
        <f t="shared" ref="N15:O15" si="50">M15*0.8</f>
        <v>16.8</v>
      </c>
      <c r="O15" s="13">
        <f t="shared" si="50"/>
        <v>13.44</v>
      </c>
      <c r="P15" s="6">
        <f t="shared" si="11"/>
        <v>12</v>
      </c>
      <c r="Q15" s="13">
        <f t="shared" si="12"/>
        <v>12</v>
      </c>
      <c r="R15" s="13">
        <f t="shared" si="13"/>
        <v>12</v>
      </c>
      <c r="S15" s="13">
        <f t="shared" si="14"/>
        <v>12</v>
      </c>
      <c r="T15" s="13">
        <f t="shared" si="15"/>
        <v>14</v>
      </c>
      <c r="U15" s="13">
        <f t="shared" si="16"/>
        <v>16.1</v>
      </c>
      <c r="V15" s="16">
        <f t="shared" si="17"/>
        <v>28</v>
      </c>
      <c r="X15" s="7">
        <f t="shared" si="18"/>
        <v>139</v>
      </c>
      <c r="Y15" s="17" t="s">
        <v>39</v>
      </c>
      <c r="Z15" s="17" t="s">
        <v>39</v>
      </c>
      <c r="AA15" s="15">
        <f t="shared" si="19"/>
        <v>27.5</v>
      </c>
      <c r="AB15" s="15">
        <f t="shared" si="20"/>
        <v>3</v>
      </c>
      <c r="AC15" s="18">
        <f t="shared" si="21"/>
        <v>41</v>
      </c>
      <c r="AD15" s="13">
        <f t="shared" si="22"/>
        <v>16.4</v>
      </c>
      <c r="AE15" s="13">
        <f t="shared" si="23"/>
        <v>23.42857143</v>
      </c>
      <c r="AF15" s="13">
        <f t="shared" si="24"/>
        <v>90</v>
      </c>
      <c r="AG15" s="13">
        <f t="shared" si="25"/>
        <v>51.42857143</v>
      </c>
      <c r="AH15" s="13">
        <f t="shared" si="26"/>
        <v>36</v>
      </c>
      <c r="AI15" s="6">
        <v>1.0</v>
      </c>
      <c r="AJ15" s="6">
        <v>1.0</v>
      </c>
      <c r="AK15" s="13">
        <f t="shared" si="27"/>
        <v>2.475</v>
      </c>
      <c r="AL15" s="16">
        <f t="shared" si="28"/>
        <v>2.475</v>
      </c>
    </row>
    <row r="16">
      <c r="A16" s="19"/>
      <c r="B16" s="5">
        <v>12.0</v>
      </c>
      <c r="C16" s="6">
        <f t="shared" si="3"/>
        <v>2.48867241</v>
      </c>
      <c r="D16" s="6">
        <f t="shared" si="4"/>
        <v>7.303666731</v>
      </c>
      <c r="E16" s="13">
        <f t="shared" ref="E16:F16" si="51">D16*1.25</f>
        <v>9.129583413</v>
      </c>
      <c r="F16" s="13">
        <f t="shared" si="51"/>
        <v>11.41197927</v>
      </c>
      <c r="G16" s="13">
        <f t="shared" si="6"/>
        <v>17.1179689</v>
      </c>
      <c r="H16" s="14">
        <f t="shared" si="7"/>
        <v>4.4</v>
      </c>
      <c r="I16" s="6"/>
      <c r="J16" s="6">
        <f t="shared" si="8"/>
        <v>4.4</v>
      </c>
      <c r="K16" s="13">
        <f t="shared" si="30"/>
        <v>14.8</v>
      </c>
      <c r="L16" s="13">
        <f t="shared" si="31"/>
        <v>17.5</v>
      </c>
      <c r="M16" s="15">
        <f t="shared" si="9"/>
        <v>22</v>
      </c>
      <c r="N16" s="13">
        <f t="shared" ref="N16:O16" si="52">M16*0.8</f>
        <v>17.6</v>
      </c>
      <c r="O16" s="13">
        <f t="shared" si="52"/>
        <v>14.08</v>
      </c>
      <c r="P16" s="6">
        <f t="shared" si="11"/>
        <v>13</v>
      </c>
      <c r="Q16" s="13">
        <f t="shared" si="12"/>
        <v>13</v>
      </c>
      <c r="R16" s="13">
        <f t="shared" si="13"/>
        <v>13</v>
      </c>
      <c r="S16" s="13">
        <f t="shared" si="14"/>
        <v>13</v>
      </c>
      <c r="T16" s="13">
        <f t="shared" si="15"/>
        <v>15</v>
      </c>
      <c r="U16" s="13">
        <f t="shared" si="16"/>
        <v>17.25</v>
      </c>
      <c r="V16" s="16">
        <f t="shared" si="17"/>
        <v>30</v>
      </c>
      <c r="X16" s="7">
        <f t="shared" si="18"/>
        <v>138</v>
      </c>
      <c r="Y16" s="17" t="s">
        <v>39</v>
      </c>
      <c r="Z16" s="17" t="s">
        <v>39</v>
      </c>
      <c r="AA16" s="15">
        <f t="shared" si="19"/>
        <v>30</v>
      </c>
      <c r="AB16" s="15">
        <f t="shared" si="20"/>
        <v>3.25</v>
      </c>
      <c r="AC16" s="18">
        <f t="shared" si="21"/>
        <v>40</v>
      </c>
      <c r="AD16" s="13">
        <f t="shared" si="22"/>
        <v>16</v>
      </c>
      <c r="AE16" s="13">
        <f t="shared" si="23"/>
        <v>22.85714286</v>
      </c>
      <c r="AF16" s="13">
        <f t="shared" si="24"/>
        <v>89</v>
      </c>
      <c r="AG16" s="13">
        <f t="shared" si="25"/>
        <v>50.85714286</v>
      </c>
      <c r="AH16" s="13">
        <f t="shared" si="26"/>
        <v>35.6</v>
      </c>
      <c r="AI16" s="6">
        <v>1.0</v>
      </c>
      <c r="AJ16" s="6">
        <v>1.0</v>
      </c>
      <c r="AK16" s="13">
        <f t="shared" si="27"/>
        <v>2.45</v>
      </c>
      <c r="AL16" s="16">
        <f t="shared" si="28"/>
        <v>2.45</v>
      </c>
    </row>
    <row r="17">
      <c r="A17" s="19"/>
      <c r="B17" s="5">
        <v>13.0</v>
      </c>
      <c r="C17" s="6">
        <f t="shared" si="3"/>
        <v>2.654395111</v>
      </c>
      <c r="D17" s="6">
        <f t="shared" si="4"/>
        <v>7.828972291</v>
      </c>
      <c r="E17" s="13">
        <f t="shared" ref="E17:F17" si="53">D17*1.25</f>
        <v>9.786215364</v>
      </c>
      <c r="F17" s="13">
        <f t="shared" si="53"/>
        <v>12.23276921</v>
      </c>
      <c r="G17" s="13">
        <f t="shared" si="6"/>
        <v>18.34915381</v>
      </c>
      <c r="H17" s="14">
        <f t="shared" si="7"/>
        <v>4.6</v>
      </c>
      <c r="I17" s="6"/>
      <c r="J17" s="6">
        <f t="shared" si="8"/>
        <v>4.6</v>
      </c>
      <c r="K17" s="13">
        <f t="shared" si="30"/>
        <v>15.95</v>
      </c>
      <c r="L17" s="13">
        <f t="shared" si="31"/>
        <v>18.75</v>
      </c>
      <c r="M17" s="15">
        <f t="shared" si="9"/>
        <v>23</v>
      </c>
      <c r="N17" s="13">
        <f t="shared" ref="N17:O17" si="54">M17*0.8</f>
        <v>18.4</v>
      </c>
      <c r="O17" s="13">
        <f t="shared" si="54"/>
        <v>14.72</v>
      </c>
      <c r="P17" s="6">
        <f t="shared" si="11"/>
        <v>14</v>
      </c>
      <c r="Q17" s="13">
        <f t="shared" si="12"/>
        <v>14</v>
      </c>
      <c r="R17" s="13">
        <f t="shared" si="13"/>
        <v>14</v>
      </c>
      <c r="S17" s="13">
        <f t="shared" si="14"/>
        <v>14</v>
      </c>
      <c r="T17" s="13">
        <f t="shared" si="15"/>
        <v>16</v>
      </c>
      <c r="U17" s="13">
        <f t="shared" si="16"/>
        <v>18.4</v>
      </c>
      <c r="V17" s="16">
        <f t="shared" si="17"/>
        <v>32</v>
      </c>
      <c r="X17" s="7">
        <f t="shared" si="18"/>
        <v>137</v>
      </c>
      <c r="Y17" s="17" t="s">
        <v>39</v>
      </c>
      <c r="Z17" s="17" t="s">
        <v>39</v>
      </c>
      <c r="AA17" s="15">
        <f t="shared" si="19"/>
        <v>32.5</v>
      </c>
      <c r="AB17" s="15">
        <f t="shared" si="20"/>
        <v>3.5</v>
      </c>
      <c r="AC17" s="18">
        <f t="shared" si="21"/>
        <v>39</v>
      </c>
      <c r="AD17" s="13">
        <f t="shared" si="22"/>
        <v>15.6</v>
      </c>
      <c r="AE17" s="13">
        <f t="shared" si="23"/>
        <v>22.28571429</v>
      </c>
      <c r="AF17" s="13">
        <f t="shared" si="24"/>
        <v>88</v>
      </c>
      <c r="AG17" s="13">
        <f t="shared" si="25"/>
        <v>50.28571429</v>
      </c>
      <c r="AH17" s="13">
        <f t="shared" si="26"/>
        <v>35.2</v>
      </c>
      <c r="AI17" s="6">
        <v>1.0</v>
      </c>
      <c r="AJ17" s="6">
        <v>1.0</v>
      </c>
      <c r="AK17" s="13">
        <f t="shared" si="27"/>
        <v>2.425</v>
      </c>
      <c r="AL17" s="16">
        <f t="shared" si="28"/>
        <v>2.425</v>
      </c>
    </row>
    <row r="18">
      <c r="A18" s="19"/>
      <c r="B18" s="5">
        <v>14.0</v>
      </c>
      <c r="C18" s="6">
        <f t="shared" si="3"/>
        <v>2.820117812</v>
      </c>
      <c r="D18" s="6">
        <f t="shared" si="4"/>
        <v>8.354277852</v>
      </c>
      <c r="E18" s="13">
        <f t="shared" ref="E18:F18" si="55">D18*1.25</f>
        <v>10.44284732</v>
      </c>
      <c r="F18" s="13">
        <f t="shared" si="55"/>
        <v>13.05355914</v>
      </c>
      <c r="G18" s="13">
        <f t="shared" si="6"/>
        <v>19.58033872</v>
      </c>
      <c r="H18" s="14">
        <f t="shared" si="7"/>
        <v>4.8</v>
      </c>
      <c r="I18" s="6"/>
      <c r="J18" s="6">
        <f t="shared" si="8"/>
        <v>4.8</v>
      </c>
      <c r="K18" s="13">
        <f t="shared" si="30"/>
        <v>17.1</v>
      </c>
      <c r="L18" s="13">
        <f t="shared" si="31"/>
        <v>20</v>
      </c>
      <c r="M18" s="15">
        <f t="shared" si="9"/>
        <v>24</v>
      </c>
      <c r="N18" s="13">
        <f t="shared" ref="N18:O18" si="56">M18*0.8</f>
        <v>19.2</v>
      </c>
      <c r="O18" s="13">
        <f t="shared" si="56"/>
        <v>15.36</v>
      </c>
      <c r="P18" s="6">
        <f t="shared" si="11"/>
        <v>15</v>
      </c>
      <c r="Q18" s="13">
        <f t="shared" si="12"/>
        <v>15</v>
      </c>
      <c r="R18" s="13">
        <f t="shared" si="13"/>
        <v>15</v>
      </c>
      <c r="S18" s="13">
        <f t="shared" si="14"/>
        <v>15</v>
      </c>
      <c r="T18" s="13">
        <f t="shared" si="15"/>
        <v>17</v>
      </c>
      <c r="U18" s="13">
        <f t="shared" si="16"/>
        <v>19.55</v>
      </c>
      <c r="V18" s="16">
        <f t="shared" si="17"/>
        <v>34</v>
      </c>
      <c r="X18" s="7">
        <f t="shared" si="18"/>
        <v>136</v>
      </c>
      <c r="Y18" s="17" t="s">
        <v>39</v>
      </c>
      <c r="Z18" s="17" t="s">
        <v>39</v>
      </c>
      <c r="AA18" s="15">
        <f t="shared" si="19"/>
        <v>35</v>
      </c>
      <c r="AB18" s="15">
        <f t="shared" si="20"/>
        <v>3.75</v>
      </c>
      <c r="AC18" s="18">
        <f t="shared" si="21"/>
        <v>38</v>
      </c>
      <c r="AD18" s="13">
        <f t="shared" si="22"/>
        <v>15.2</v>
      </c>
      <c r="AE18" s="13">
        <f t="shared" si="23"/>
        <v>21.71428571</v>
      </c>
      <c r="AF18" s="13">
        <f t="shared" si="24"/>
        <v>87</v>
      </c>
      <c r="AG18" s="13">
        <f t="shared" si="25"/>
        <v>49.71428571</v>
      </c>
      <c r="AH18" s="13">
        <f t="shared" si="26"/>
        <v>34.8</v>
      </c>
      <c r="AI18" s="6">
        <v>1.0</v>
      </c>
      <c r="AJ18" s="6">
        <v>1.0</v>
      </c>
      <c r="AK18" s="13">
        <f t="shared" si="27"/>
        <v>2.4</v>
      </c>
      <c r="AL18" s="16">
        <f t="shared" si="28"/>
        <v>2.4</v>
      </c>
    </row>
    <row r="19">
      <c r="A19" s="19"/>
      <c r="B19" s="5">
        <v>15.0</v>
      </c>
      <c r="C19" s="6">
        <f t="shared" si="3"/>
        <v>2.985840513</v>
      </c>
      <c r="D19" s="6">
        <f t="shared" si="4"/>
        <v>8.879583413</v>
      </c>
      <c r="E19" s="13">
        <f t="shared" ref="E19:F19" si="57">D19*1.25</f>
        <v>11.09947927</v>
      </c>
      <c r="F19" s="13">
        <f t="shared" si="57"/>
        <v>13.87434908</v>
      </c>
      <c r="G19" s="13">
        <f t="shared" si="6"/>
        <v>20.81152362</v>
      </c>
      <c r="H19" s="14">
        <f t="shared" si="7"/>
        <v>5</v>
      </c>
      <c r="I19" s="6"/>
      <c r="J19" s="6">
        <f t="shared" si="8"/>
        <v>5</v>
      </c>
      <c r="K19" s="13">
        <f t="shared" si="30"/>
        <v>18.25</v>
      </c>
      <c r="L19" s="13">
        <f t="shared" si="31"/>
        <v>21.25</v>
      </c>
      <c r="M19" s="15">
        <f t="shared" si="9"/>
        <v>25</v>
      </c>
      <c r="N19" s="13">
        <f t="shared" ref="N19:O19" si="58">M19*0.8</f>
        <v>20</v>
      </c>
      <c r="O19" s="13">
        <f t="shared" si="58"/>
        <v>16</v>
      </c>
      <c r="P19" s="6">
        <f t="shared" si="11"/>
        <v>16</v>
      </c>
      <c r="Q19" s="13">
        <f t="shared" si="12"/>
        <v>16</v>
      </c>
      <c r="R19" s="13">
        <f t="shared" si="13"/>
        <v>16</v>
      </c>
      <c r="S19" s="13">
        <f t="shared" si="14"/>
        <v>16</v>
      </c>
      <c r="T19" s="13">
        <f t="shared" si="15"/>
        <v>18</v>
      </c>
      <c r="U19" s="13">
        <f t="shared" si="16"/>
        <v>20.7</v>
      </c>
      <c r="V19" s="16">
        <f t="shared" si="17"/>
        <v>36</v>
      </c>
      <c r="X19" s="7">
        <f t="shared" si="18"/>
        <v>135</v>
      </c>
      <c r="Y19" s="17" t="s">
        <v>39</v>
      </c>
      <c r="Z19" s="17" t="s">
        <v>39</v>
      </c>
      <c r="AA19" s="15">
        <f t="shared" si="19"/>
        <v>37.5</v>
      </c>
      <c r="AB19" s="15">
        <f t="shared" si="20"/>
        <v>4</v>
      </c>
      <c r="AC19" s="18">
        <f t="shared" si="21"/>
        <v>37</v>
      </c>
      <c r="AD19" s="13">
        <f t="shared" si="22"/>
        <v>14.8</v>
      </c>
      <c r="AE19" s="13">
        <f t="shared" si="23"/>
        <v>21.14285714</v>
      </c>
      <c r="AF19" s="13">
        <f t="shared" si="24"/>
        <v>86</v>
      </c>
      <c r="AG19" s="13">
        <f t="shared" si="25"/>
        <v>49.14285714</v>
      </c>
      <c r="AH19" s="13">
        <f t="shared" si="26"/>
        <v>34.4</v>
      </c>
      <c r="AI19" s="6">
        <v>1.0</v>
      </c>
      <c r="AJ19" s="6">
        <v>1.0</v>
      </c>
      <c r="AK19" s="13">
        <f t="shared" si="27"/>
        <v>2.375</v>
      </c>
      <c r="AL19" s="16">
        <f t="shared" si="28"/>
        <v>2.375</v>
      </c>
    </row>
    <row r="20">
      <c r="A20" s="19"/>
      <c r="B20" s="5">
        <v>16.0</v>
      </c>
      <c r="C20" s="6">
        <f t="shared" si="3"/>
        <v>3.151563214</v>
      </c>
      <c r="D20" s="6">
        <f t="shared" si="4"/>
        <v>9.404888974</v>
      </c>
      <c r="E20" s="13">
        <f t="shared" ref="E20:F20" si="59">D20*1.25</f>
        <v>11.75611122</v>
      </c>
      <c r="F20" s="13">
        <f t="shared" si="59"/>
        <v>14.69513902</v>
      </c>
      <c r="G20" s="13">
        <f t="shared" si="6"/>
        <v>22.04270853</v>
      </c>
      <c r="H20" s="14">
        <f t="shared" si="7"/>
        <v>5.2</v>
      </c>
      <c r="I20" s="6"/>
      <c r="J20" s="6">
        <f t="shared" si="8"/>
        <v>5.2</v>
      </c>
      <c r="K20" s="13">
        <f t="shared" si="30"/>
        <v>19.4</v>
      </c>
      <c r="L20" s="13">
        <f t="shared" si="31"/>
        <v>22.5</v>
      </c>
      <c r="M20" s="15">
        <f t="shared" si="9"/>
        <v>26</v>
      </c>
      <c r="N20" s="13">
        <f t="shared" ref="N20:O20" si="60">M20*0.8</f>
        <v>20.8</v>
      </c>
      <c r="O20" s="13">
        <f t="shared" si="60"/>
        <v>16.64</v>
      </c>
      <c r="P20" s="6">
        <f t="shared" si="11"/>
        <v>17</v>
      </c>
      <c r="Q20" s="13">
        <f t="shared" si="12"/>
        <v>17</v>
      </c>
      <c r="R20" s="13">
        <f t="shared" si="13"/>
        <v>17</v>
      </c>
      <c r="S20" s="13">
        <f t="shared" si="14"/>
        <v>17</v>
      </c>
      <c r="T20" s="13">
        <f t="shared" si="15"/>
        <v>19</v>
      </c>
      <c r="U20" s="13">
        <f t="shared" si="16"/>
        <v>21.85</v>
      </c>
      <c r="V20" s="16">
        <f t="shared" si="17"/>
        <v>38</v>
      </c>
      <c r="X20" s="7">
        <f t="shared" si="18"/>
        <v>134</v>
      </c>
      <c r="Y20" s="17" t="s">
        <v>39</v>
      </c>
      <c r="Z20" s="17" t="s">
        <v>39</v>
      </c>
      <c r="AA20" s="15">
        <f t="shared" si="19"/>
        <v>40</v>
      </c>
      <c r="AB20" s="15">
        <f t="shared" si="20"/>
        <v>4.25</v>
      </c>
      <c r="AC20" s="18">
        <f t="shared" si="21"/>
        <v>36</v>
      </c>
      <c r="AD20" s="13">
        <f t="shared" si="22"/>
        <v>14.4</v>
      </c>
      <c r="AE20" s="13">
        <f t="shared" si="23"/>
        <v>20.57142857</v>
      </c>
      <c r="AF20" s="13">
        <f t="shared" si="24"/>
        <v>85</v>
      </c>
      <c r="AG20" s="13">
        <f t="shared" si="25"/>
        <v>48.57142857</v>
      </c>
      <c r="AH20" s="13">
        <f t="shared" si="26"/>
        <v>34</v>
      </c>
      <c r="AI20" s="6">
        <v>1.0</v>
      </c>
      <c r="AJ20" s="6">
        <v>1.0</v>
      </c>
      <c r="AK20" s="13">
        <f t="shared" si="27"/>
        <v>2.35</v>
      </c>
      <c r="AL20" s="16">
        <f t="shared" si="28"/>
        <v>2.35</v>
      </c>
    </row>
    <row r="21">
      <c r="A21" s="19"/>
      <c r="B21" s="5">
        <v>17.0</v>
      </c>
      <c r="C21" s="6">
        <f t="shared" si="3"/>
        <v>3.317285915</v>
      </c>
      <c r="D21" s="6">
        <f t="shared" si="4"/>
        <v>9.930194535</v>
      </c>
      <c r="E21" s="13">
        <f t="shared" ref="E21:F21" si="61">D21*1.25</f>
        <v>12.41274317</v>
      </c>
      <c r="F21" s="13">
        <f t="shared" si="61"/>
        <v>15.51592896</v>
      </c>
      <c r="G21" s="13">
        <f t="shared" si="6"/>
        <v>23.27389344</v>
      </c>
      <c r="H21" s="14">
        <f t="shared" si="7"/>
        <v>5.4</v>
      </c>
      <c r="I21" s="6"/>
      <c r="J21" s="6">
        <f t="shared" si="8"/>
        <v>5.4</v>
      </c>
      <c r="K21" s="13">
        <f t="shared" si="30"/>
        <v>20.55</v>
      </c>
      <c r="L21" s="13">
        <f t="shared" si="31"/>
        <v>23.75</v>
      </c>
      <c r="M21" s="15">
        <f t="shared" si="9"/>
        <v>27</v>
      </c>
      <c r="N21" s="13">
        <f t="shared" ref="N21:O21" si="62">M21*0.8</f>
        <v>21.6</v>
      </c>
      <c r="O21" s="13">
        <f t="shared" si="62"/>
        <v>17.28</v>
      </c>
      <c r="P21" s="6">
        <f t="shared" si="11"/>
        <v>18</v>
      </c>
      <c r="Q21" s="13">
        <f t="shared" si="12"/>
        <v>18</v>
      </c>
      <c r="R21" s="13">
        <f t="shared" si="13"/>
        <v>18</v>
      </c>
      <c r="S21" s="13">
        <f t="shared" si="14"/>
        <v>18</v>
      </c>
      <c r="T21" s="13">
        <f t="shared" si="15"/>
        <v>20</v>
      </c>
      <c r="U21" s="13">
        <f t="shared" si="16"/>
        <v>23</v>
      </c>
      <c r="V21" s="16">
        <f t="shared" si="17"/>
        <v>40</v>
      </c>
      <c r="X21" s="7">
        <f t="shared" si="18"/>
        <v>133</v>
      </c>
      <c r="Y21" s="17" t="s">
        <v>39</v>
      </c>
      <c r="Z21" s="17" t="s">
        <v>39</v>
      </c>
      <c r="AA21" s="15">
        <f t="shared" si="19"/>
        <v>42.5</v>
      </c>
      <c r="AB21" s="15">
        <f t="shared" si="20"/>
        <v>4.5</v>
      </c>
      <c r="AC21" s="18">
        <f t="shared" si="21"/>
        <v>35</v>
      </c>
      <c r="AD21" s="13">
        <f t="shared" si="22"/>
        <v>14</v>
      </c>
      <c r="AE21" s="13">
        <f t="shared" si="23"/>
        <v>20</v>
      </c>
      <c r="AF21" s="13">
        <f t="shared" si="24"/>
        <v>84</v>
      </c>
      <c r="AG21" s="13">
        <f t="shared" si="25"/>
        <v>48</v>
      </c>
      <c r="AH21" s="13">
        <f t="shared" si="26"/>
        <v>33.6</v>
      </c>
      <c r="AI21" s="6">
        <v>1.0</v>
      </c>
      <c r="AJ21" s="6">
        <v>1.0</v>
      </c>
      <c r="AK21" s="13">
        <f t="shared" si="27"/>
        <v>2.325</v>
      </c>
      <c r="AL21" s="16">
        <f t="shared" si="28"/>
        <v>2.325</v>
      </c>
    </row>
    <row r="22">
      <c r="A22" s="19"/>
      <c r="B22" s="5">
        <v>18.0</v>
      </c>
      <c r="C22" s="6">
        <f t="shared" si="3"/>
        <v>3.483008616</v>
      </c>
      <c r="D22" s="6">
        <f t="shared" si="4"/>
        <v>10.4555001</v>
      </c>
      <c r="E22" s="13">
        <f t="shared" ref="E22:F22" si="63">D22*1.25</f>
        <v>13.06937512</v>
      </c>
      <c r="F22" s="13">
        <f t="shared" si="63"/>
        <v>16.3367189</v>
      </c>
      <c r="G22" s="13">
        <f t="shared" si="6"/>
        <v>24.50507835</v>
      </c>
      <c r="H22" s="14">
        <f t="shared" si="7"/>
        <v>5.6</v>
      </c>
      <c r="I22" s="6"/>
      <c r="J22" s="6">
        <f t="shared" si="8"/>
        <v>5.6</v>
      </c>
      <c r="K22" s="13">
        <f t="shared" si="30"/>
        <v>21.7</v>
      </c>
      <c r="L22" s="13">
        <f t="shared" si="31"/>
        <v>25</v>
      </c>
      <c r="M22" s="15">
        <f t="shared" si="9"/>
        <v>28</v>
      </c>
      <c r="N22" s="13">
        <f t="shared" ref="N22:O22" si="64">M22*0.8</f>
        <v>22.4</v>
      </c>
      <c r="O22" s="13">
        <f t="shared" si="64"/>
        <v>17.92</v>
      </c>
      <c r="P22" s="6">
        <f t="shared" si="11"/>
        <v>19</v>
      </c>
      <c r="Q22" s="13">
        <f t="shared" si="12"/>
        <v>19</v>
      </c>
      <c r="R22" s="13">
        <f t="shared" si="13"/>
        <v>19</v>
      </c>
      <c r="S22" s="13">
        <f t="shared" si="14"/>
        <v>19</v>
      </c>
      <c r="T22" s="13">
        <f t="shared" si="15"/>
        <v>21</v>
      </c>
      <c r="U22" s="13">
        <f t="shared" si="16"/>
        <v>24.15</v>
      </c>
      <c r="V22" s="16">
        <f t="shared" si="17"/>
        <v>42</v>
      </c>
      <c r="X22" s="7">
        <f t="shared" si="18"/>
        <v>132</v>
      </c>
      <c r="Y22" s="17" t="s">
        <v>39</v>
      </c>
      <c r="Z22" s="17" t="s">
        <v>39</v>
      </c>
      <c r="AA22" s="15">
        <f t="shared" si="19"/>
        <v>45</v>
      </c>
      <c r="AB22" s="15">
        <f t="shared" si="20"/>
        <v>4.75</v>
      </c>
      <c r="AC22" s="18">
        <f t="shared" si="21"/>
        <v>34</v>
      </c>
      <c r="AD22" s="13">
        <f t="shared" si="22"/>
        <v>13.6</v>
      </c>
      <c r="AE22" s="13">
        <f t="shared" si="23"/>
        <v>19.42857143</v>
      </c>
      <c r="AF22" s="13">
        <f t="shared" si="24"/>
        <v>83</v>
      </c>
      <c r="AG22" s="13">
        <f t="shared" si="25"/>
        <v>47.42857143</v>
      </c>
      <c r="AH22" s="13">
        <f t="shared" si="26"/>
        <v>33.2</v>
      </c>
      <c r="AI22" s="6">
        <v>1.0</v>
      </c>
      <c r="AJ22" s="6">
        <v>1.0</v>
      </c>
      <c r="AK22" s="13">
        <f t="shared" si="27"/>
        <v>2.3</v>
      </c>
      <c r="AL22" s="16">
        <f t="shared" si="28"/>
        <v>2.3</v>
      </c>
    </row>
    <row r="23">
      <c r="A23" s="19"/>
      <c r="B23" s="5">
        <v>19.0</v>
      </c>
      <c r="C23" s="6">
        <f t="shared" si="3"/>
        <v>3.648731316</v>
      </c>
      <c r="D23" s="6">
        <f t="shared" si="4"/>
        <v>10.98080566</v>
      </c>
      <c r="E23" s="13">
        <f t="shared" ref="E23:F23" si="65">D23*1.25</f>
        <v>13.72600707</v>
      </c>
      <c r="F23" s="13">
        <f t="shared" si="65"/>
        <v>17.15750884</v>
      </c>
      <c r="G23" s="13">
        <f t="shared" si="6"/>
        <v>25.73626326</v>
      </c>
      <c r="H23" s="14">
        <f t="shared" si="7"/>
        <v>5.8</v>
      </c>
      <c r="I23" s="6"/>
      <c r="J23" s="6">
        <f t="shared" si="8"/>
        <v>5.8</v>
      </c>
      <c r="K23" s="13">
        <f t="shared" si="30"/>
        <v>22.85</v>
      </c>
      <c r="L23" s="13">
        <f t="shared" si="31"/>
        <v>26.25</v>
      </c>
      <c r="M23" s="15">
        <f t="shared" si="9"/>
        <v>29</v>
      </c>
      <c r="N23" s="13">
        <f t="shared" ref="N23:O23" si="66">M23*0.8</f>
        <v>23.2</v>
      </c>
      <c r="O23" s="13">
        <f t="shared" si="66"/>
        <v>18.56</v>
      </c>
      <c r="P23" s="6">
        <f t="shared" si="11"/>
        <v>20</v>
      </c>
      <c r="Q23" s="13">
        <f t="shared" si="12"/>
        <v>20</v>
      </c>
      <c r="R23" s="13">
        <f t="shared" si="13"/>
        <v>20</v>
      </c>
      <c r="S23" s="13">
        <f t="shared" si="14"/>
        <v>20</v>
      </c>
      <c r="T23" s="13">
        <f t="shared" si="15"/>
        <v>22</v>
      </c>
      <c r="U23" s="13">
        <f t="shared" si="16"/>
        <v>25.3</v>
      </c>
      <c r="V23" s="16">
        <f t="shared" si="17"/>
        <v>44</v>
      </c>
      <c r="X23" s="7">
        <f t="shared" si="18"/>
        <v>131</v>
      </c>
      <c r="Y23" s="17" t="s">
        <v>39</v>
      </c>
      <c r="Z23" s="17" t="s">
        <v>39</v>
      </c>
      <c r="AA23" s="15">
        <f t="shared" si="19"/>
        <v>47.5</v>
      </c>
      <c r="AB23" s="15">
        <f t="shared" si="20"/>
        <v>5</v>
      </c>
      <c r="AC23" s="18">
        <f t="shared" si="21"/>
        <v>33</v>
      </c>
      <c r="AD23" s="13">
        <f t="shared" si="22"/>
        <v>13.2</v>
      </c>
      <c r="AE23" s="13">
        <f t="shared" si="23"/>
        <v>18.85714286</v>
      </c>
      <c r="AF23" s="13">
        <f t="shared" si="24"/>
        <v>82</v>
      </c>
      <c r="AG23" s="13">
        <f t="shared" si="25"/>
        <v>46.85714286</v>
      </c>
      <c r="AH23" s="13">
        <f t="shared" si="26"/>
        <v>32.8</v>
      </c>
      <c r="AI23" s="6">
        <v>1.0</v>
      </c>
      <c r="AJ23" s="6">
        <v>1.0</v>
      </c>
      <c r="AK23" s="13">
        <f t="shared" si="27"/>
        <v>2.275</v>
      </c>
      <c r="AL23" s="16">
        <f t="shared" si="28"/>
        <v>2.275</v>
      </c>
    </row>
    <row r="24">
      <c r="A24" s="19"/>
      <c r="B24" s="5">
        <v>20.0</v>
      </c>
      <c r="C24" s="6">
        <f t="shared" si="3"/>
        <v>3.814454017</v>
      </c>
      <c r="D24" s="6">
        <f t="shared" si="4"/>
        <v>11.50611122</v>
      </c>
      <c r="E24" s="13">
        <f t="shared" ref="E24:F24" si="67">D24*1.25</f>
        <v>14.38263902</v>
      </c>
      <c r="F24" s="13">
        <f t="shared" si="67"/>
        <v>17.97829878</v>
      </c>
      <c r="G24" s="13">
        <f t="shared" si="6"/>
        <v>26.96744817</v>
      </c>
      <c r="H24" s="14">
        <f t="shared" si="7"/>
        <v>6</v>
      </c>
      <c r="I24" s="6"/>
      <c r="J24" s="6">
        <f t="shared" si="8"/>
        <v>6</v>
      </c>
      <c r="K24" s="13">
        <f t="shared" si="30"/>
        <v>24</v>
      </c>
      <c r="L24" s="13">
        <f t="shared" si="31"/>
        <v>27.5</v>
      </c>
      <c r="M24" s="15">
        <f t="shared" si="9"/>
        <v>30</v>
      </c>
      <c r="N24" s="13">
        <f t="shared" ref="N24:O24" si="68">M24*0.8</f>
        <v>24</v>
      </c>
      <c r="O24" s="13">
        <f t="shared" si="68"/>
        <v>19.2</v>
      </c>
      <c r="P24" s="6">
        <f t="shared" si="11"/>
        <v>21</v>
      </c>
      <c r="Q24" s="13">
        <f t="shared" si="12"/>
        <v>21</v>
      </c>
      <c r="R24" s="13">
        <f t="shared" si="13"/>
        <v>21</v>
      </c>
      <c r="S24" s="13">
        <f t="shared" si="14"/>
        <v>21</v>
      </c>
      <c r="T24" s="13">
        <f t="shared" si="15"/>
        <v>23</v>
      </c>
      <c r="U24" s="13">
        <f t="shared" si="16"/>
        <v>26.45</v>
      </c>
      <c r="V24" s="16">
        <f t="shared" si="17"/>
        <v>46</v>
      </c>
      <c r="X24" s="7">
        <f t="shared" si="18"/>
        <v>130</v>
      </c>
      <c r="Y24" s="17" t="s">
        <v>39</v>
      </c>
      <c r="Z24" s="17" t="s">
        <v>39</v>
      </c>
      <c r="AA24" s="15">
        <f t="shared" si="19"/>
        <v>50</v>
      </c>
      <c r="AB24" s="15">
        <f t="shared" si="20"/>
        <v>5.25</v>
      </c>
      <c r="AC24" s="18">
        <f t="shared" si="21"/>
        <v>32</v>
      </c>
      <c r="AD24" s="13">
        <f t="shared" si="22"/>
        <v>12.8</v>
      </c>
      <c r="AE24" s="13">
        <f t="shared" si="23"/>
        <v>18.28571429</v>
      </c>
      <c r="AF24" s="13">
        <f t="shared" si="24"/>
        <v>81</v>
      </c>
      <c r="AG24" s="13">
        <f t="shared" si="25"/>
        <v>46.28571429</v>
      </c>
      <c r="AH24" s="13">
        <f t="shared" si="26"/>
        <v>32.4</v>
      </c>
      <c r="AI24" s="6">
        <v>1.0</v>
      </c>
      <c r="AJ24" s="6">
        <v>1.0</v>
      </c>
      <c r="AK24" s="13">
        <f t="shared" si="27"/>
        <v>2.25</v>
      </c>
      <c r="AL24" s="16">
        <f t="shared" si="28"/>
        <v>2.25</v>
      </c>
    </row>
    <row r="25">
      <c r="A25" s="19"/>
      <c r="B25" s="5">
        <v>21.0</v>
      </c>
      <c r="C25" s="6">
        <f t="shared" si="3"/>
        <v>3.980176718</v>
      </c>
      <c r="D25" s="6">
        <f t="shared" si="4"/>
        <v>12.03141678</v>
      </c>
      <c r="E25" s="13">
        <f t="shared" ref="E25:F25" si="69">D25*1.25</f>
        <v>15.03927097</v>
      </c>
      <c r="F25" s="13">
        <f t="shared" si="69"/>
        <v>18.79908872</v>
      </c>
      <c r="G25" s="13">
        <f t="shared" si="6"/>
        <v>28.19863307</v>
      </c>
      <c r="H25" s="14">
        <f t="shared" si="7"/>
        <v>6.2</v>
      </c>
      <c r="I25" s="6"/>
      <c r="J25" s="6">
        <f t="shared" si="8"/>
        <v>6.2</v>
      </c>
      <c r="K25" s="13">
        <f t="shared" si="30"/>
        <v>25.15</v>
      </c>
      <c r="L25" s="13">
        <f t="shared" si="31"/>
        <v>28.75</v>
      </c>
      <c r="M25" s="15">
        <f t="shared" si="9"/>
        <v>31</v>
      </c>
      <c r="N25" s="13">
        <f t="shared" ref="N25:O25" si="70">M25*0.8</f>
        <v>24.8</v>
      </c>
      <c r="O25" s="13">
        <f t="shared" si="70"/>
        <v>19.84</v>
      </c>
      <c r="P25" s="6">
        <f t="shared" si="11"/>
        <v>22</v>
      </c>
      <c r="Q25" s="13">
        <f t="shared" si="12"/>
        <v>22</v>
      </c>
      <c r="R25" s="13">
        <f t="shared" si="13"/>
        <v>22</v>
      </c>
      <c r="S25" s="13">
        <f t="shared" si="14"/>
        <v>22</v>
      </c>
      <c r="T25" s="13">
        <f t="shared" si="15"/>
        <v>24</v>
      </c>
      <c r="U25" s="13">
        <f t="shared" si="16"/>
        <v>27.6</v>
      </c>
      <c r="V25" s="16">
        <f t="shared" si="17"/>
        <v>48</v>
      </c>
      <c r="X25" s="7">
        <f t="shared" si="18"/>
        <v>129</v>
      </c>
      <c r="Y25" s="17" t="s">
        <v>39</v>
      </c>
      <c r="Z25" s="17" t="s">
        <v>39</v>
      </c>
      <c r="AA25" s="15">
        <f t="shared" si="19"/>
        <v>52.5</v>
      </c>
      <c r="AB25" s="15">
        <f t="shared" si="20"/>
        <v>5.5</v>
      </c>
      <c r="AC25" s="18">
        <f t="shared" si="21"/>
        <v>31</v>
      </c>
      <c r="AD25" s="13">
        <f t="shared" si="22"/>
        <v>12.4</v>
      </c>
      <c r="AE25" s="13">
        <f t="shared" si="23"/>
        <v>17.71428571</v>
      </c>
      <c r="AF25" s="13">
        <f t="shared" si="24"/>
        <v>80</v>
      </c>
      <c r="AG25" s="13">
        <f t="shared" si="25"/>
        <v>45.71428571</v>
      </c>
      <c r="AH25" s="13">
        <f t="shared" si="26"/>
        <v>32</v>
      </c>
      <c r="AI25" s="6">
        <v>1.0</v>
      </c>
      <c r="AJ25" s="6">
        <v>1.0</v>
      </c>
      <c r="AK25" s="13">
        <f t="shared" si="27"/>
        <v>2.225</v>
      </c>
      <c r="AL25" s="16">
        <f t="shared" si="28"/>
        <v>2.225</v>
      </c>
    </row>
    <row r="26">
      <c r="A26" s="19"/>
      <c r="B26" s="5">
        <v>22.0</v>
      </c>
      <c r="C26" s="6">
        <f t="shared" si="3"/>
        <v>4.145899419</v>
      </c>
      <c r="D26" s="6">
        <f t="shared" si="4"/>
        <v>12.55672234</v>
      </c>
      <c r="E26" s="13">
        <f t="shared" ref="E26:F26" si="71">D26*1.25</f>
        <v>15.69590292</v>
      </c>
      <c r="F26" s="13">
        <f t="shared" si="71"/>
        <v>19.61987866</v>
      </c>
      <c r="G26" s="13">
        <f t="shared" si="6"/>
        <v>29.42981798</v>
      </c>
      <c r="H26" s="14">
        <f t="shared" si="7"/>
        <v>6.4</v>
      </c>
      <c r="I26" s="6"/>
      <c r="J26" s="6">
        <f t="shared" si="8"/>
        <v>6.4</v>
      </c>
      <c r="K26" s="13">
        <f t="shared" si="30"/>
        <v>26.3</v>
      </c>
      <c r="L26" s="13">
        <f t="shared" si="31"/>
        <v>30</v>
      </c>
      <c r="M26" s="15">
        <f t="shared" si="9"/>
        <v>32</v>
      </c>
      <c r="N26" s="13">
        <f t="shared" ref="N26:O26" si="72">M26*0.8</f>
        <v>25.6</v>
      </c>
      <c r="O26" s="13">
        <f t="shared" si="72"/>
        <v>20.48</v>
      </c>
      <c r="P26" s="6">
        <f t="shared" si="11"/>
        <v>23</v>
      </c>
      <c r="Q26" s="13">
        <f t="shared" si="12"/>
        <v>23</v>
      </c>
      <c r="R26" s="13">
        <f t="shared" si="13"/>
        <v>23</v>
      </c>
      <c r="S26" s="13">
        <f t="shared" si="14"/>
        <v>23</v>
      </c>
      <c r="T26" s="13">
        <f t="shared" si="15"/>
        <v>25</v>
      </c>
      <c r="U26" s="13">
        <f t="shared" si="16"/>
        <v>28.75</v>
      </c>
      <c r="V26" s="16">
        <f t="shared" si="17"/>
        <v>50</v>
      </c>
      <c r="X26" s="7">
        <f t="shared" si="18"/>
        <v>128</v>
      </c>
      <c r="Y26" s="17" t="s">
        <v>39</v>
      </c>
      <c r="Z26" s="17" t="s">
        <v>39</v>
      </c>
      <c r="AA26" s="15">
        <f t="shared" si="19"/>
        <v>55</v>
      </c>
      <c r="AB26" s="15">
        <f t="shared" si="20"/>
        <v>5.75</v>
      </c>
      <c r="AC26" s="18">
        <f t="shared" si="21"/>
        <v>30</v>
      </c>
      <c r="AD26" s="13">
        <f t="shared" si="22"/>
        <v>12</v>
      </c>
      <c r="AE26" s="13">
        <f t="shared" si="23"/>
        <v>17.14285714</v>
      </c>
      <c r="AF26" s="13">
        <f t="shared" si="24"/>
        <v>79</v>
      </c>
      <c r="AG26" s="13">
        <f t="shared" si="25"/>
        <v>45.14285714</v>
      </c>
      <c r="AH26" s="13">
        <f t="shared" si="26"/>
        <v>31.6</v>
      </c>
      <c r="AI26" s="6">
        <v>1.0</v>
      </c>
      <c r="AJ26" s="6">
        <v>1.0</v>
      </c>
      <c r="AK26" s="13">
        <f t="shared" si="27"/>
        <v>2.2</v>
      </c>
      <c r="AL26" s="16">
        <f t="shared" si="28"/>
        <v>2.2</v>
      </c>
    </row>
    <row r="27">
      <c r="A27" s="19"/>
      <c r="B27" s="5">
        <v>23.0</v>
      </c>
      <c r="C27" s="6">
        <f t="shared" si="3"/>
        <v>4.31162212</v>
      </c>
      <c r="D27" s="6">
        <f t="shared" si="4"/>
        <v>13.0820279</v>
      </c>
      <c r="E27" s="13">
        <f t="shared" ref="E27:F27" si="73">D27*1.25</f>
        <v>16.35253488</v>
      </c>
      <c r="F27" s="13">
        <f t="shared" si="73"/>
        <v>20.44066859</v>
      </c>
      <c r="G27" s="13">
        <f t="shared" si="6"/>
        <v>30.66100289</v>
      </c>
      <c r="H27" s="14">
        <f t="shared" si="7"/>
        <v>6.6</v>
      </c>
      <c r="I27" s="6"/>
      <c r="J27" s="6">
        <f t="shared" si="8"/>
        <v>6.6</v>
      </c>
      <c r="K27" s="13">
        <f t="shared" si="30"/>
        <v>27.45</v>
      </c>
      <c r="L27" s="13">
        <f t="shared" si="31"/>
        <v>31.25</v>
      </c>
      <c r="M27" s="15">
        <f t="shared" si="9"/>
        <v>33</v>
      </c>
      <c r="N27" s="13">
        <f t="shared" ref="N27:O27" si="74">M27*0.8</f>
        <v>26.4</v>
      </c>
      <c r="O27" s="13">
        <f t="shared" si="74"/>
        <v>21.12</v>
      </c>
      <c r="P27" s="6">
        <f t="shared" si="11"/>
        <v>24</v>
      </c>
      <c r="Q27" s="13">
        <f t="shared" si="12"/>
        <v>24</v>
      </c>
      <c r="R27" s="13">
        <f t="shared" si="13"/>
        <v>24</v>
      </c>
      <c r="S27" s="13">
        <f t="shared" si="14"/>
        <v>24</v>
      </c>
      <c r="T27" s="13">
        <f t="shared" si="15"/>
        <v>26</v>
      </c>
      <c r="U27" s="13">
        <f t="shared" si="16"/>
        <v>29.9</v>
      </c>
      <c r="V27" s="16">
        <f t="shared" si="17"/>
        <v>52</v>
      </c>
      <c r="X27" s="7">
        <f t="shared" si="18"/>
        <v>127</v>
      </c>
      <c r="Y27" s="17" t="s">
        <v>39</v>
      </c>
      <c r="Z27" s="17" t="s">
        <v>39</v>
      </c>
      <c r="AA27" s="15">
        <f t="shared" si="19"/>
        <v>57.5</v>
      </c>
      <c r="AB27" s="15">
        <f t="shared" si="20"/>
        <v>6</v>
      </c>
      <c r="AC27" s="18">
        <f t="shared" si="21"/>
        <v>29</v>
      </c>
      <c r="AD27" s="13">
        <f t="shared" si="22"/>
        <v>11.6</v>
      </c>
      <c r="AE27" s="13">
        <f t="shared" si="23"/>
        <v>16.57142857</v>
      </c>
      <c r="AF27" s="13">
        <f t="shared" si="24"/>
        <v>78</v>
      </c>
      <c r="AG27" s="13">
        <f t="shared" si="25"/>
        <v>44.57142857</v>
      </c>
      <c r="AH27" s="13">
        <f t="shared" si="26"/>
        <v>31.2</v>
      </c>
      <c r="AI27" s="6">
        <v>1.0</v>
      </c>
      <c r="AJ27" s="6">
        <v>1.0</v>
      </c>
      <c r="AK27" s="13">
        <f t="shared" si="27"/>
        <v>2.175</v>
      </c>
      <c r="AL27" s="16">
        <f t="shared" si="28"/>
        <v>2.175</v>
      </c>
    </row>
    <row r="28">
      <c r="A28" s="19"/>
      <c r="B28" s="5">
        <v>24.0</v>
      </c>
      <c r="C28" s="6">
        <f t="shared" si="3"/>
        <v>4.477344821</v>
      </c>
      <c r="D28" s="6">
        <f t="shared" si="4"/>
        <v>13.60733346</v>
      </c>
      <c r="E28" s="13">
        <f t="shared" ref="E28:F28" si="75">D28*1.25</f>
        <v>17.00916683</v>
      </c>
      <c r="F28" s="13">
        <f t="shared" si="75"/>
        <v>21.26145853</v>
      </c>
      <c r="G28" s="13">
        <f t="shared" si="6"/>
        <v>31.8921878</v>
      </c>
      <c r="H28" s="14">
        <f t="shared" si="7"/>
        <v>6.8</v>
      </c>
      <c r="I28" s="6"/>
      <c r="J28" s="6">
        <f t="shared" si="8"/>
        <v>6.8</v>
      </c>
      <c r="K28" s="13">
        <f t="shared" si="30"/>
        <v>28.6</v>
      </c>
      <c r="L28" s="13">
        <f t="shared" si="31"/>
        <v>32.5</v>
      </c>
      <c r="M28" s="15">
        <f t="shared" si="9"/>
        <v>34</v>
      </c>
      <c r="N28" s="13">
        <f t="shared" ref="N28:O28" si="76">M28*0.8</f>
        <v>27.2</v>
      </c>
      <c r="O28" s="13">
        <f t="shared" si="76"/>
        <v>21.76</v>
      </c>
      <c r="P28" s="6">
        <f t="shared" si="11"/>
        <v>25</v>
      </c>
      <c r="Q28" s="13">
        <f t="shared" si="12"/>
        <v>25</v>
      </c>
      <c r="R28" s="13">
        <f t="shared" si="13"/>
        <v>25</v>
      </c>
      <c r="S28" s="13">
        <f t="shared" si="14"/>
        <v>25</v>
      </c>
      <c r="T28" s="13">
        <f t="shared" si="15"/>
        <v>27</v>
      </c>
      <c r="U28" s="13">
        <f t="shared" si="16"/>
        <v>31.05</v>
      </c>
      <c r="V28" s="16">
        <f t="shared" si="17"/>
        <v>54</v>
      </c>
      <c r="X28" s="7">
        <f t="shared" si="18"/>
        <v>126</v>
      </c>
      <c r="Y28" s="17" t="s">
        <v>39</v>
      </c>
      <c r="Z28" s="17" t="s">
        <v>39</v>
      </c>
      <c r="AA28" s="15">
        <f t="shared" si="19"/>
        <v>60</v>
      </c>
      <c r="AB28" s="15">
        <f t="shared" si="20"/>
        <v>6.25</v>
      </c>
      <c r="AC28" s="18">
        <f t="shared" si="21"/>
        <v>28</v>
      </c>
      <c r="AD28" s="13">
        <f t="shared" si="22"/>
        <v>11.2</v>
      </c>
      <c r="AE28" s="13">
        <f t="shared" si="23"/>
        <v>16</v>
      </c>
      <c r="AF28" s="13">
        <f t="shared" si="24"/>
        <v>77</v>
      </c>
      <c r="AG28" s="13">
        <f t="shared" si="25"/>
        <v>44</v>
      </c>
      <c r="AH28" s="13">
        <f t="shared" si="26"/>
        <v>30.8</v>
      </c>
      <c r="AI28" s="6">
        <v>1.0</v>
      </c>
      <c r="AJ28" s="6">
        <v>1.0</v>
      </c>
      <c r="AK28" s="13">
        <f t="shared" si="27"/>
        <v>2.15</v>
      </c>
      <c r="AL28" s="16">
        <f t="shared" si="28"/>
        <v>2.15</v>
      </c>
    </row>
    <row r="29">
      <c r="A29" s="19"/>
      <c r="B29" s="5">
        <v>25.0</v>
      </c>
      <c r="C29" s="6">
        <f t="shared" si="3"/>
        <v>4.643067522</v>
      </c>
      <c r="D29" s="6">
        <f t="shared" si="4"/>
        <v>14.13263902</v>
      </c>
      <c r="E29" s="13">
        <f t="shared" ref="E29:F29" si="77">D29*1.25</f>
        <v>17.66579878</v>
      </c>
      <c r="F29" s="13">
        <f t="shared" si="77"/>
        <v>22.08224847</v>
      </c>
      <c r="G29" s="13">
        <f t="shared" si="6"/>
        <v>33.12337271</v>
      </c>
      <c r="H29" s="14">
        <f t="shared" si="7"/>
        <v>7</v>
      </c>
      <c r="I29" s="6"/>
      <c r="J29" s="6">
        <f t="shared" si="8"/>
        <v>7</v>
      </c>
      <c r="K29" s="13">
        <f t="shared" si="30"/>
        <v>29.75</v>
      </c>
      <c r="L29" s="13">
        <f t="shared" si="31"/>
        <v>33.75</v>
      </c>
      <c r="M29" s="15">
        <f t="shared" si="9"/>
        <v>35</v>
      </c>
      <c r="N29" s="13">
        <f t="shared" ref="N29:O29" si="78">M29*0.8</f>
        <v>28</v>
      </c>
      <c r="O29" s="13">
        <f t="shared" si="78"/>
        <v>22.4</v>
      </c>
      <c r="P29" s="6">
        <f t="shared" si="11"/>
        <v>26</v>
      </c>
      <c r="Q29" s="13">
        <f t="shared" si="12"/>
        <v>26</v>
      </c>
      <c r="R29" s="13">
        <f t="shared" si="13"/>
        <v>26</v>
      </c>
      <c r="S29" s="13">
        <f t="shared" si="14"/>
        <v>26</v>
      </c>
      <c r="T29" s="13">
        <f t="shared" si="15"/>
        <v>28</v>
      </c>
      <c r="U29" s="13">
        <f t="shared" si="16"/>
        <v>32.2</v>
      </c>
      <c r="V29" s="16">
        <f t="shared" si="17"/>
        <v>56</v>
      </c>
      <c r="X29" s="7">
        <f t="shared" si="18"/>
        <v>125</v>
      </c>
      <c r="Y29" s="17" t="s">
        <v>39</v>
      </c>
      <c r="Z29" s="17" t="s">
        <v>39</v>
      </c>
      <c r="AA29" s="15">
        <f t="shared" si="19"/>
        <v>62.5</v>
      </c>
      <c r="AB29" s="15">
        <f t="shared" si="20"/>
        <v>6.5</v>
      </c>
      <c r="AC29" s="18">
        <f t="shared" si="21"/>
        <v>27</v>
      </c>
      <c r="AD29" s="13">
        <f t="shared" si="22"/>
        <v>10.8</v>
      </c>
      <c r="AE29" s="13">
        <f t="shared" si="23"/>
        <v>15.42857143</v>
      </c>
      <c r="AF29" s="13">
        <f t="shared" si="24"/>
        <v>76</v>
      </c>
      <c r="AG29" s="13">
        <f t="shared" si="25"/>
        <v>43.42857143</v>
      </c>
      <c r="AH29" s="13">
        <f t="shared" si="26"/>
        <v>30.4</v>
      </c>
      <c r="AI29" s="6">
        <v>1.0</v>
      </c>
      <c r="AJ29" s="6">
        <v>1.0</v>
      </c>
      <c r="AK29" s="13">
        <f t="shared" si="27"/>
        <v>2.125</v>
      </c>
      <c r="AL29" s="16">
        <f t="shared" si="28"/>
        <v>2.125</v>
      </c>
    </row>
    <row r="30">
      <c r="A30" s="19"/>
      <c r="B30" s="5">
        <v>26.0</v>
      </c>
      <c r="C30" s="6">
        <f t="shared" si="3"/>
        <v>4.808790223</v>
      </c>
      <c r="D30" s="6">
        <f t="shared" si="4"/>
        <v>14.65794458</v>
      </c>
      <c r="E30" s="13">
        <f t="shared" ref="E30:F30" si="79">D30*1.25</f>
        <v>18.32243073</v>
      </c>
      <c r="F30" s="13">
        <f t="shared" si="79"/>
        <v>22.90303841</v>
      </c>
      <c r="G30" s="13">
        <f t="shared" si="6"/>
        <v>34.35455762</v>
      </c>
      <c r="H30" s="14">
        <f t="shared" si="7"/>
        <v>7.2</v>
      </c>
      <c r="I30" s="6"/>
      <c r="J30" s="6">
        <f t="shared" si="8"/>
        <v>7.2</v>
      </c>
      <c r="K30" s="13">
        <f t="shared" si="30"/>
        <v>30.9</v>
      </c>
      <c r="L30" s="13">
        <f t="shared" si="31"/>
        <v>35</v>
      </c>
      <c r="M30" s="15">
        <f t="shared" si="9"/>
        <v>36</v>
      </c>
      <c r="N30" s="13">
        <f t="shared" ref="N30:O30" si="80">M30*0.8</f>
        <v>28.8</v>
      </c>
      <c r="O30" s="13">
        <f t="shared" si="80"/>
        <v>23.04</v>
      </c>
      <c r="P30" s="6">
        <f t="shared" si="11"/>
        <v>27</v>
      </c>
      <c r="Q30" s="13">
        <f t="shared" si="12"/>
        <v>27</v>
      </c>
      <c r="R30" s="13">
        <f t="shared" si="13"/>
        <v>27</v>
      </c>
      <c r="S30" s="13">
        <f t="shared" si="14"/>
        <v>27</v>
      </c>
      <c r="T30" s="13">
        <f t="shared" si="15"/>
        <v>29</v>
      </c>
      <c r="U30" s="13">
        <f t="shared" si="16"/>
        <v>33.35</v>
      </c>
      <c r="V30" s="16">
        <f t="shared" si="17"/>
        <v>58</v>
      </c>
      <c r="X30" s="7">
        <f t="shared" si="18"/>
        <v>124</v>
      </c>
      <c r="Y30" s="17" t="s">
        <v>39</v>
      </c>
      <c r="Z30" s="17" t="s">
        <v>39</v>
      </c>
      <c r="AA30" s="15">
        <f t="shared" si="19"/>
        <v>65</v>
      </c>
      <c r="AB30" s="15">
        <f t="shared" si="20"/>
        <v>6.75</v>
      </c>
      <c r="AC30" s="18">
        <f t="shared" si="21"/>
        <v>26</v>
      </c>
      <c r="AD30" s="13">
        <f t="shared" si="22"/>
        <v>10.4</v>
      </c>
      <c r="AE30" s="13">
        <f t="shared" si="23"/>
        <v>14.85714286</v>
      </c>
      <c r="AF30" s="13">
        <f t="shared" si="24"/>
        <v>75</v>
      </c>
      <c r="AG30" s="13">
        <f t="shared" si="25"/>
        <v>42.85714286</v>
      </c>
      <c r="AH30" s="13">
        <f t="shared" si="26"/>
        <v>30</v>
      </c>
      <c r="AI30" s="6">
        <v>1.0</v>
      </c>
      <c r="AJ30" s="6">
        <v>1.0</v>
      </c>
      <c r="AK30" s="13">
        <f t="shared" si="27"/>
        <v>2.1</v>
      </c>
      <c r="AL30" s="16">
        <f t="shared" si="28"/>
        <v>2.1</v>
      </c>
    </row>
    <row r="31">
      <c r="A31" s="19"/>
      <c r="B31" s="5">
        <v>27.0</v>
      </c>
      <c r="C31" s="6">
        <f t="shared" si="3"/>
        <v>4.974512923</v>
      </c>
      <c r="D31" s="6">
        <f t="shared" si="4"/>
        <v>15.18325014</v>
      </c>
      <c r="E31" s="13">
        <f t="shared" ref="E31:F31" si="81">D31*1.25</f>
        <v>18.97906268</v>
      </c>
      <c r="F31" s="13">
        <f t="shared" si="81"/>
        <v>23.72382835</v>
      </c>
      <c r="G31" s="13">
        <f t="shared" si="6"/>
        <v>35.58574252</v>
      </c>
      <c r="H31" s="14">
        <f t="shared" si="7"/>
        <v>7.4</v>
      </c>
      <c r="I31" s="6"/>
      <c r="J31" s="6">
        <f t="shared" si="8"/>
        <v>7.4</v>
      </c>
      <c r="K31" s="13">
        <f t="shared" si="30"/>
        <v>32.05</v>
      </c>
      <c r="L31" s="13">
        <f t="shared" si="31"/>
        <v>36.25</v>
      </c>
      <c r="M31" s="15">
        <f t="shared" si="9"/>
        <v>37</v>
      </c>
      <c r="N31" s="13">
        <f t="shared" ref="N31:O31" si="82">M31*0.8</f>
        <v>29.6</v>
      </c>
      <c r="O31" s="13">
        <f t="shared" si="82"/>
        <v>23.68</v>
      </c>
      <c r="P31" s="6">
        <f t="shared" si="11"/>
        <v>28</v>
      </c>
      <c r="Q31" s="13">
        <f t="shared" si="12"/>
        <v>28</v>
      </c>
      <c r="R31" s="13">
        <f t="shared" si="13"/>
        <v>28</v>
      </c>
      <c r="S31" s="13">
        <f t="shared" si="14"/>
        <v>28</v>
      </c>
      <c r="T31" s="13">
        <f t="shared" si="15"/>
        <v>30</v>
      </c>
      <c r="U31" s="13">
        <f t="shared" si="16"/>
        <v>34.5</v>
      </c>
      <c r="V31" s="16">
        <f t="shared" si="17"/>
        <v>60</v>
      </c>
      <c r="X31" s="7">
        <f t="shared" si="18"/>
        <v>123</v>
      </c>
      <c r="Y31" s="17" t="s">
        <v>39</v>
      </c>
      <c r="Z31" s="17" t="s">
        <v>39</v>
      </c>
      <c r="AA31" s="15">
        <f t="shared" si="19"/>
        <v>67.5</v>
      </c>
      <c r="AB31" s="15">
        <f t="shared" si="20"/>
        <v>7</v>
      </c>
      <c r="AC31" s="18">
        <f t="shared" si="21"/>
        <v>25</v>
      </c>
      <c r="AD31" s="13">
        <f t="shared" si="22"/>
        <v>10</v>
      </c>
      <c r="AE31" s="13">
        <f t="shared" si="23"/>
        <v>14.28571429</v>
      </c>
      <c r="AF31" s="13">
        <f t="shared" si="24"/>
        <v>74</v>
      </c>
      <c r="AG31" s="13">
        <f t="shared" si="25"/>
        <v>42.28571429</v>
      </c>
      <c r="AH31" s="13">
        <f t="shared" si="26"/>
        <v>29.6</v>
      </c>
      <c r="AI31" s="6">
        <v>1.0</v>
      </c>
      <c r="AJ31" s="6">
        <v>1.0</v>
      </c>
      <c r="AK31" s="13">
        <f t="shared" si="27"/>
        <v>2.075</v>
      </c>
      <c r="AL31" s="16">
        <f t="shared" si="28"/>
        <v>2.075</v>
      </c>
    </row>
    <row r="32">
      <c r="A32" s="19"/>
      <c r="B32" s="5">
        <v>28.0</v>
      </c>
      <c r="C32" s="6">
        <f t="shared" si="3"/>
        <v>5.140235624</v>
      </c>
      <c r="D32" s="6">
        <f t="shared" si="4"/>
        <v>15.7085557</v>
      </c>
      <c r="E32" s="13">
        <f t="shared" ref="E32:F32" si="83">D32*1.25</f>
        <v>19.63569463</v>
      </c>
      <c r="F32" s="13">
        <f t="shared" si="83"/>
        <v>24.54461829</v>
      </c>
      <c r="G32" s="13">
        <f t="shared" si="6"/>
        <v>36.81692743</v>
      </c>
      <c r="H32" s="14">
        <f t="shared" si="7"/>
        <v>7.6</v>
      </c>
      <c r="I32" s="6"/>
      <c r="J32" s="6">
        <f t="shared" si="8"/>
        <v>7.6</v>
      </c>
      <c r="K32" s="13">
        <f t="shared" si="30"/>
        <v>33.2</v>
      </c>
      <c r="L32" s="13">
        <f t="shared" si="31"/>
        <v>37.5</v>
      </c>
      <c r="M32" s="15">
        <f t="shared" si="9"/>
        <v>38</v>
      </c>
      <c r="N32" s="13">
        <f t="shared" ref="N32:O32" si="84">M32*0.8</f>
        <v>30.4</v>
      </c>
      <c r="O32" s="13">
        <f t="shared" si="84"/>
        <v>24.32</v>
      </c>
      <c r="P32" s="6">
        <f t="shared" si="11"/>
        <v>29</v>
      </c>
      <c r="Q32" s="13">
        <f t="shared" si="12"/>
        <v>29</v>
      </c>
      <c r="R32" s="13">
        <f t="shared" si="13"/>
        <v>29</v>
      </c>
      <c r="S32" s="13">
        <f t="shared" si="14"/>
        <v>29</v>
      </c>
      <c r="T32" s="13">
        <f t="shared" si="15"/>
        <v>31</v>
      </c>
      <c r="U32" s="13">
        <f t="shared" si="16"/>
        <v>35.65</v>
      </c>
      <c r="V32" s="16">
        <f t="shared" si="17"/>
        <v>62</v>
      </c>
      <c r="X32" s="7">
        <f t="shared" si="18"/>
        <v>122</v>
      </c>
      <c r="Y32" s="17" t="s">
        <v>39</v>
      </c>
      <c r="Z32" s="17" t="s">
        <v>39</v>
      </c>
      <c r="AA32" s="15">
        <f t="shared" si="19"/>
        <v>70</v>
      </c>
      <c r="AB32" s="15">
        <f t="shared" si="20"/>
        <v>7.25</v>
      </c>
      <c r="AC32" s="18">
        <f t="shared" si="21"/>
        <v>24</v>
      </c>
      <c r="AD32" s="13">
        <f t="shared" si="22"/>
        <v>9.6</v>
      </c>
      <c r="AE32" s="13">
        <f t="shared" si="23"/>
        <v>13.71428571</v>
      </c>
      <c r="AF32" s="13">
        <f t="shared" si="24"/>
        <v>73</v>
      </c>
      <c r="AG32" s="13">
        <f t="shared" si="25"/>
        <v>41.71428571</v>
      </c>
      <c r="AH32" s="13">
        <f t="shared" si="26"/>
        <v>29.2</v>
      </c>
      <c r="AI32" s="6">
        <v>1.0</v>
      </c>
      <c r="AJ32" s="6">
        <v>1.0</v>
      </c>
      <c r="AK32" s="13">
        <f t="shared" si="27"/>
        <v>2.05</v>
      </c>
      <c r="AL32" s="16">
        <f t="shared" si="28"/>
        <v>2.05</v>
      </c>
    </row>
    <row r="33">
      <c r="A33" s="19"/>
      <c r="B33" s="5">
        <v>29.0</v>
      </c>
      <c r="C33" s="6">
        <f t="shared" si="3"/>
        <v>5.305958325</v>
      </c>
      <c r="D33" s="6">
        <f t="shared" si="4"/>
        <v>16.23386127</v>
      </c>
      <c r="E33" s="13">
        <f t="shared" ref="E33:F33" si="85">D33*1.25</f>
        <v>20.29232658</v>
      </c>
      <c r="F33" s="13">
        <f t="shared" si="85"/>
        <v>25.36540823</v>
      </c>
      <c r="G33" s="13">
        <f t="shared" si="6"/>
        <v>38.04811234</v>
      </c>
      <c r="H33" s="14">
        <f t="shared" si="7"/>
        <v>7.8</v>
      </c>
      <c r="I33" s="6"/>
      <c r="J33" s="6">
        <f t="shared" si="8"/>
        <v>7.8</v>
      </c>
      <c r="K33" s="13">
        <f t="shared" si="30"/>
        <v>34.35</v>
      </c>
      <c r="L33" s="13">
        <f t="shared" si="31"/>
        <v>38.75</v>
      </c>
      <c r="M33" s="15">
        <f t="shared" si="9"/>
        <v>39</v>
      </c>
      <c r="N33" s="13">
        <f t="shared" ref="N33:O33" si="86">M33*0.8</f>
        <v>31.2</v>
      </c>
      <c r="O33" s="13">
        <f t="shared" si="86"/>
        <v>24.96</v>
      </c>
      <c r="P33" s="6">
        <f t="shared" si="11"/>
        <v>30</v>
      </c>
      <c r="Q33" s="13">
        <f t="shared" si="12"/>
        <v>30</v>
      </c>
      <c r="R33" s="13">
        <f t="shared" si="13"/>
        <v>30</v>
      </c>
      <c r="S33" s="13">
        <f t="shared" si="14"/>
        <v>30</v>
      </c>
      <c r="T33" s="13">
        <f t="shared" si="15"/>
        <v>32</v>
      </c>
      <c r="U33" s="13">
        <f t="shared" si="16"/>
        <v>36.8</v>
      </c>
      <c r="V33" s="16">
        <f t="shared" si="17"/>
        <v>64</v>
      </c>
      <c r="X33" s="7">
        <f t="shared" si="18"/>
        <v>121</v>
      </c>
      <c r="Y33" s="17" t="s">
        <v>39</v>
      </c>
      <c r="Z33" s="17" t="s">
        <v>39</v>
      </c>
      <c r="AA33" s="15">
        <f t="shared" si="19"/>
        <v>72.5</v>
      </c>
      <c r="AB33" s="15">
        <f t="shared" si="20"/>
        <v>7.5</v>
      </c>
      <c r="AC33" s="18">
        <f t="shared" si="21"/>
        <v>23</v>
      </c>
      <c r="AD33" s="13">
        <f t="shared" si="22"/>
        <v>9.2</v>
      </c>
      <c r="AE33" s="13">
        <f t="shared" si="23"/>
        <v>13.14285714</v>
      </c>
      <c r="AF33" s="13">
        <f t="shared" si="24"/>
        <v>72</v>
      </c>
      <c r="AG33" s="13">
        <f t="shared" si="25"/>
        <v>41.14285714</v>
      </c>
      <c r="AH33" s="13">
        <f t="shared" si="26"/>
        <v>28.8</v>
      </c>
      <c r="AI33" s="6">
        <v>1.0</v>
      </c>
      <c r="AJ33" s="6">
        <v>1.0</v>
      </c>
      <c r="AK33" s="13">
        <f t="shared" si="27"/>
        <v>2.025</v>
      </c>
      <c r="AL33" s="16">
        <f t="shared" si="28"/>
        <v>2.025</v>
      </c>
    </row>
    <row r="34">
      <c r="A34" s="19"/>
      <c r="B34" s="5">
        <v>30.0</v>
      </c>
      <c r="C34" s="6">
        <f t="shared" si="3"/>
        <v>5.471681026</v>
      </c>
      <c r="D34" s="6">
        <f t="shared" si="4"/>
        <v>16.75916683</v>
      </c>
      <c r="E34" s="13">
        <f t="shared" ref="E34:F34" si="87">D34*1.25</f>
        <v>20.94895853</v>
      </c>
      <c r="F34" s="13">
        <f t="shared" si="87"/>
        <v>26.18619817</v>
      </c>
      <c r="G34" s="13">
        <f t="shared" si="6"/>
        <v>39.27929725</v>
      </c>
      <c r="H34" s="14">
        <f t="shared" si="7"/>
        <v>8</v>
      </c>
      <c r="I34" s="6"/>
      <c r="J34" s="6">
        <f t="shared" si="8"/>
        <v>8</v>
      </c>
      <c r="K34" s="13">
        <f t="shared" si="30"/>
        <v>35.5</v>
      </c>
      <c r="L34" s="13">
        <f t="shared" si="31"/>
        <v>40</v>
      </c>
      <c r="M34" s="15">
        <f t="shared" si="9"/>
        <v>40</v>
      </c>
      <c r="N34" s="13">
        <f t="shared" ref="N34:O34" si="88">M34*0.8</f>
        <v>32</v>
      </c>
      <c r="O34" s="13">
        <f t="shared" si="88"/>
        <v>25.6</v>
      </c>
      <c r="P34" s="6">
        <f t="shared" si="11"/>
        <v>31</v>
      </c>
      <c r="Q34" s="13">
        <f t="shared" si="12"/>
        <v>31</v>
      </c>
      <c r="R34" s="13">
        <f t="shared" si="13"/>
        <v>31</v>
      </c>
      <c r="S34" s="13">
        <f t="shared" si="14"/>
        <v>31</v>
      </c>
      <c r="T34" s="13">
        <f t="shared" si="15"/>
        <v>33</v>
      </c>
      <c r="U34" s="13">
        <f t="shared" si="16"/>
        <v>37.95</v>
      </c>
      <c r="V34" s="16">
        <f t="shared" si="17"/>
        <v>66</v>
      </c>
      <c r="X34" s="7">
        <f t="shared" si="18"/>
        <v>120</v>
      </c>
      <c r="Y34" s="17" t="s">
        <v>39</v>
      </c>
      <c r="Z34" s="17" t="s">
        <v>39</v>
      </c>
      <c r="AA34" s="15">
        <f t="shared" si="19"/>
        <v>75</v>
      </c>
      <c r="AB34" s="15">
        <f t="shared" si="20"/>
        <v>7.75</v>
      </c>
      <c r="AC34" s="18">
        <f t="shared" si="21"/>
        <v>22</v>
      </c>
      <c r="AD34" s="13">
        <f t="shared" si="22"/>
        <v>8.8</v>
      </c>
      <c r="AE34" s="13">
        <f t="shared" si="23"/>
        <v>12.57142857</v>
      </c>
      <c r="AF34" s="13">
        <f t="shared" si="24"/>
        <v>71</v>
      </c>
      <c r="AG34" s="13">
        <f t="shared" si="25"/>
        <v>40.57142857</v>
      </c>
      <c r="AH34" s="13">
        <f t="shared" si="26"/>
        <v>28.4</v>
      </c>
      <c r="AI34" s="6">
        <v>1.0</v>
      </c>
      <c r="AJ34" s="6">
        <v>1.0</v>
      </c>
      <c r="AK34" s="13">
        <f t="shared" si="27"/>
        <v>2</v>
      </c>
      <c r="AL34" s="16">
        <f t="shared" si="28"/>
        <v>2</v>
      </c>
    </row>
    <row r="35">
      <c r="A35" s="19"/>
      <c r="B35" s="5">
        <v>31.0</v>
      </c>
      <c r="C35" s="6">
        <f t="shared" si="3"/>
        <v>5.637403727</v>
      </c>
      <c r="D35" s="6">
        <f t="shared" si="4"/>
        <v>17.28447239</v>
      </c>
      <c r="E35" s="13">
        <f t="shared" ref="E35:F35" si="89">D35*1.25</f>
        <v>21.60559048</v>
      </c>
      <c r="F35" s="13">
        <f t="shared" si="89"/>
        <v>27.00698811</v>
      </c>
      <c r="G35" s="13">
        <f t="shared" si="6"/>
        <v>40.51048216</v>
      </c>
      <c r="H35" s="14">
        <f t="shared" si="7"/>
        <v>8.2</v>
      </c>
      <c r="I35" s="6"/>
      <c r="J35" s="6">
        <f t="shared" si="8"/>
        <v>8.2</v>
      </c>
      <c r="K35" s="13">
        <f t="shared" si="30"/>
        <v>36.65</v>
      </c>
      <c r="L35" s="13">
        <f t="shared" si="31"/>
        <v>41.25</v>
      </c>
      <c r="M35" s="15">
        <f t="shared" si="9"/>
        <v>41</v>
      </c>
      <c r="N35" s="13">
        <f t="shared" ref="N35:O35" si="90">M35*0.8</f>
        <v>32.8</v>
      </c>
      <c r="O35" s="13">
        <f t="shared" si="90"/>
        <v>26.24</v>
      </c>
      <c r="P35" s="6">
        <f t="shared" si="11"/>
        <v>32</v>
      </c>
      <c r="Q35" s="13">
        <f t="shared" si="12"/>
        <v>32</v>
      </c>
      <c r="R35" s="13">
        <f t="shared" si="13"/>
        <v>32</v>
      </c>
      <c r="S35" s="13">
        <f t="shared" si="14"/>
        <v>32</v>
      </c>
      <c r="T35" s="13">
        <f t="shared" si="15"/>
        <v>34</v>
      </c>
      <c r="U35" s="13">
        <f t="shared" si="16"/>
        <v>39.1</v>
      </c>
      <c r="V35" s="16">
        <f t="shared" si="17"/>
        <v>68</v>
      </c>
      <c r="X35" s="7">
        <f t="shared" si="18"/>
        <v>119</v>
      </c>
      <c r="Y35" s="17" t="s">
        <v>39</v>
      </c>
      <c r="Z35" s="17" t="s">
        <v>39</v>
      </c>
      <c r="AA35" s="15">
        <f t="shared" si="19"/>
        <v>77.5</v>
      </c>
      <c r="AB35" s="15">
        <f t="shared" si="20"/>
        <v>8</v>
      </c>
      <c r="AC35" s="18">
        <f t="shared" si="21"/>
        <v>21</v>
      </c>
      <c r="AD35" s="13">
        <f t="shared" si="22"/>
        <v>8.4</v>
      </c>
      <c r="AE35" s="13">
        <f t="shared" si="23"/>
        <v>12</v>
      </c>
      <c r="AF35" s="13">
        <f t="shared" si="24"/>
        <v>70</v>
      </c>
      <c r="AG35" s="13">
        <f t="shared" si="25"/>
        <v>40</v>
      </c>
      <c r="AH35" s="13">
        <f t="shared" si="26"/>
        <v>28</v>
      </c>
      <c r="AI35" s="6">
        <v>1.0</v>
      </c>
      <c r="AJ35" s="6">
        <v>1.0</v>
      </c>
      <c r="AK35" s="13">
        <f t="shared" si="27"/>
        <v>1.975</v>
      </c>
      <c r="AL35" s="16">
        <f t="shared" si="28"/>
        <v>1.975</v>
      </c>
    </row>
    <row r="36">
      <c r="A36" s="19"/>
      <c r="B36" s="5">
        <v>32.0</v>
      </c>
      <c r="C36" s="6">
        <f t="shared" si="3"/>
        <v>5.803126428</v>
      </c>
      <c r="D36" s="6">
        <f t="shared" si="4"/>
        <v>17.80977795</v>
      </c>
      <c r="E36" s="13">
        <f t="shared" ref="E36:F36" si="91">D36*1.25</f>
        <v>22.26222244</v>
      </c>
      <c r="F36" s="13">
        <f t="shared" si="91"/>
        <v>27.82777804</v>
      </c>
      <c r="G36" s="13">
        <f t="shared" si="6"/>
        <v>41.74166707</v>
      </c>
      <c r="H36" s="14">
        <f t="shared" si="7"/>
        <v>8.4</v>
      </c>
      <c r="I36" s="6"/>
      <c r="J36" s="6">
        <f t="shared" si="8"/>
        <v>8.4</v>
      </c>
      <c r="K36" s="13">
        <f t="shared" si="30"/>
        <v>37.8</v>
      </c>
      <c r="L36" s="13">
        <f t="shared" si="31"/>
        <v>42.5</v>
      </c>
      <c r="M36" s="15">
        <f t="shared" si="9"/>
        <v>42</v>
      </c>
      <c r="N36" s="13">
        <f t="shared" ref="N36:O36" si="92">M36*0.8</f>
        <v>33.6</v>
      </c>
      <c r="O36" s="13">
        <f t="shared" si="92"/>
        <v>26.88</v>
      </c>
      <c r="P36" s="6">
        <f t="shared" si="11"/>
        <v>33</v>
      </c>
      <c r="Q36" s="13">
        <f t="shared" si="12"/>
        <v>33</v>
      </c>
      <c r="R36" s="13">
        <f t="shared" si="13"/>
        <v>33</v>
      </c>
      <c r="S36" s="13">
        <f t="shared" si="14"/>
        <v>33</v>
      </c>
      <c r="T36" s="13">
        <f t="shared" si="15"/>
        <v>35</v>
      </c>
      <c r="U36" s="13">
        <f t="shared" si="16"/>
        <v>40.25</v>
      </c>
      <c r="V36" s="16">
        <f t="shared" si="17"/>
        <v>70</v>
      </c>
      <c r="X36" s="7">
        <f t="shared" si="18"/>
        <v>118</v>
      </c>
      <c r="Y36" s="17" t="s">
        <v>39</v>
      </c>
      <c r="Z36" s="17" t="s">
        <v>39</v>
      </c>
      <c r="AA36" s="15">
        <f t="shared" si="19"/>
        <v>80</v>
      </c>
      <c r="AB36" s="15">
        <f t="shared" si="20"/>
        <v>8.25</v>
      </c>
      <c r="AC36" s="18">
        <f t="shared" si="21"/>
        <v>20</v>
      </c>
      <c r="AD36" s="13">
        <f t="shared" si="22"/>
        <v>8</v>
      </c>
      <c r="AE36" s="13">
        <f t="shared" si="23"/>
        <v>11.42857143</v>
      </c>
      <c r="AF36" s="13">
        <f t="shared" si="24"/>
        <v>69</v>
      </c>
      <c r="AG36" s="13">
        <f t="shared" si="25"/>
        <v>39.42857143</v>
      </c>
      <c r="AH36" s="13">
        <f t="shared" si="26"/>
        <v>27.6</v>
      </c>
      <c r="AI36" s="6">
        <v>1.0</v>
      </c>
      <c r="AJ36" s="6">
        <v>1.0</v>
      </c>
      <c r="AK36" s="13">
        <f t="shared" si="27"/>
        <v>1.95</v>
      </c>
      <c r="AL36" s="16">
        <f t="shared" si="28"/>
        <v>1.95</v>
      </c>
    </row>
    <row r="37">
      <c r="A37" s="19"/>
      <c r="B37" s="5">
        <v>33.0</v>
      </c>
      <c r="C37" s="6">
        <f t="shared" si="3"/>
        <v>5.968849129</v>
      </c>
      <c r="D37" s="6">
        <f t="shared" si="4"/>
        <v>18.33508351</v>
      </c>
      <c r="E37" s="13">
        <f t="shared" ref="E37:F37" si="93">D37*1.25</f>
        <v>22.91885439</v>
      </c>
      <c r="F37" s="13">
        <f t="shared" si="93"/>
        <v>28.64856798</v>
      </c>
      <c r="G37" s="13">
        <f t="shared" si="6"/>
        <v>42.97285197</v>
      </c>
      <c r="H37" s="14">
        <f t="shared" si="7"/>
        <v>8.6</v>
      </c>
      <c r="I37" s="6"/>
      <c r="J37" s="6">
        <f t="shared" si="8"/>
        <v>8.6</v>
      </c>
      <c r="K37" s="13">
        <f t="shared" si="30"/>
        <v>38.95</v>
      </c>
      <c r="L37" s="13">
        <f t="shared" si="31"/>
        <v>43.75</v>
      </c>
      <c r="M37" s="15">
        <f t="shared" si="9"/>
        <v>43</v>
      </c>
      <c r="N37" s="13">
        <f t="shared" ref="N37:O37" si="94">M37*0.8</f>
        <v>34.4</v>
      </c>
      <c r="O37" s="13">
        <f t="shared" si="94"/>
        <v>27.52</v>
      </c>
      <c r="P37" s="6">
        <f t="shared" si="11"/>
        <v>34</v>
      </c>
      <c r="Q37" s="13">
        <f t="shared" si="12"/>
        <v>34</v>
      </c>
      <c r="R37" s="13">
        <f t="shared" si="13"/>
        <v>34</v>
      </c>
      <c r="S37" s="13">
        <f t="shared" si="14"/>
        <v>34</v>
      </c>
      <c r="T37" s="13">
        <f t="shared" si="15"/>
        <v>36</v>
      </c>
      <c r="U37" s="13">
        <f t="shared" si="16"/>
        <v>41.4</v>
      </c>
      <c r="V37" s="16">
        <f t="shared" si="17"/>
        <v>72</v>
      </c>
      <c r="X37" s="7">
        <f t="shared" si="18"/>
        <v>117</v>
      </c>
      <c r="Y37" s="17" t="s">
        <v>39</v>
      </c>
      <c r="Z37" s="17" t="s">
        <v>39</v>
      </c>
      <c r="AA37" s="15">
        <f t="shared" si="19"/>
        <v>82.5</v>
      </c>
      <c r="AB37" s="15">
        <f t="shared" si="20"/>
        <v>8.5</v>
      </c>
      <c r="AC37" s="18">
        <f t="shared" si="21"/>
        <v>19</v>
      </c>
      <c r="AD37" s="13">
        <f t="shared" si="22"/>
        <v>7.6</v>
      </c>
      <c r="AE37" s="13">
        <f t="shared" si="23"/>
        <v>10.85714286</v>
      </c>
      <c r="AF37" s="13">
        <f t="shared" si="24"/>
        <v>68</v>
      </c>
      <c r="AG37" s="13">
        <f t="shared" si="25"/>
        <v>38.85714286</v>
      </c>
      <c r="AH37" s="13">
        <f t="shared" si="26"/>
        <v>27.2</v>
      </c>
      <c r="AI37" s="6">
        <v>1.0</v>
      </c>
      <c r="AJ37" s="6">
        <v>1.0</v>
      </c>
      <c r="AK37" s="13">
        <f t="shared" si="27"/>
        <v>1.925</v>
      </c>
      <c r="AL37" s="16">
        <f t="shared" si="28"/>
        <v>1.925</v>
      </c>
    </row>
    <row r="38">
      <c r="A38" s="19"/>
      <c r="B38" s="5">
        <v>34.0</v>
      </c>
      <c r="C38" s="6">
        <f t="shared" si="3"/>
        <v>6.134571829</v>
      </c>
      <c r="D38" s="6">
        <f t="shared" si="4"/>
        <v>18.86038907</v>
      </c>
      <c r="E38" s="13">
        <f t="shared" ref="E38:F38" si="95">D38*1.25</f>
        <v>23.57548634</v>
      </c>
      <c r="F38" s="13">
        <f t="shared" si="95"/>
        <v>29.46935792</v>
      </c>
      <c r="G38" s="13">
        <f t="shared" si="6"/>
        <v>44.20403688</v>
      </c>
      <c r="H38" s="14">
        <f t="shared" si="7"/>
        <v>8.8</v>
      </c>
      <c r="I38" s="6"/>
      <c r="J38" s="6">
        <f t="shared" si="8"/>
        <v>8.8</v>
      </c>
      <c r="K38" s="13">
        <f t="shared" si="30"/>
        <v>40.1</v>
      </c>
      <c r="L38" s="13">
        <f t="shared" si="31"/>
        <v>45</v>
      </c>
      <c r="M38" s="15">
        <f t="shared" si="9"/>
        <v>44</v>
      </c>
      <c r="N38" s="13">
        <f t="shared" ref="N38:O38" si="96">M38*0.8</f>
        <v>35.2</v>
      </c>
      <c r="O38" s="13">
        <f t="shared" si="96"/>
        <v>28.16</v>
      </c>
      <c r="P38" s="6">
        <f t="shared" si="11"/>
        <v>35</v>
      </c>
      <c r="Q38" s="13">
        <f t="shared" si="12"/>
        <v>35</v>
      </c>
      <c r="R38" s="13">
        <f t="shared" si="13"/>
        <v>35</v>
      </c>
      <c r="S38" s="13">
        <f t="shared" si="14"/>
        <v>35</v>
      </c>
      <c r="T38" s="13">
        <f t="shared" si="15"/>
        <v>37</v>
      </c>
      <c r="U38" s="13">
        <f t="shared" si="16"/>
        <v>42.55</v>
      </c>
      <c r="V38" s="16">
        <f t="shared" si="17"/>
        <v>74</v>
      </c>
      <c r="X38" s="7">
        <f t="shared" si="18"/>
        <v>116</v>
      </c>
      <c r="Y38" s="17" t="s">
        <v>39</v>
      </c>
      <c r="Z38" s="17" t="s">
        <v>39</v>
      </c>
      <c r="AA38" s="15">
        <f t="shared" si="19"/>
        <v>85</v>
      </c>
      <c r="AB38" s="15">
        <f t="shared" si="20"/>
        <v>8.75</v>
      </c>
      <c r="AC38" s="18">
        <f t="shared" si="21"/>
        <v>18</v>
      </c>
      <c r="AD38" s="13">
        <f t="shared" si="22"/>
        <v>7.2</v>
      </c>
      <c r="AE38" s="13">
        <f t="shared" si="23"/>
        <v>10.28571429</v>
      </c>
      <c r="AF38" s="13">
        <f t="shared" si="24"/>
        <v>67</v>
      </c>
      <c r="AG38" s="13">
        <f t="shared" si="25"/>
        <v>38.28571429</v>
      </c>
      <c r="AH38" s="13">
        <f t="shared" si="26"/>
        <v>26.8</v>
      </c>
      <c r="AI38" s="6">
        <v>1.0</v>
      </c>
      <c r="AJ38" s="6">
        <v>1.0</v>
      </c>
      <c r="AK38" s="13">
        <f t="shared" si="27"/>
        <v>1.9</v>
      </c>
      <c r="AL38" s="16">
        <f t="shared" si="28"/>
        <v>1.9</v>
      </c>
    </row>
    <row r="39">
      <c r="A39" s="19"/>
      <c r="B39" s="5">
        <v>35.0</v>
      </c>
      <c r="C39" s="6">
        <f t="shared" si="3"/>
        <v>6.30029453</v>
      </c>
      <c r="D39" s="6">
        <f t="shared" si="4"/>
        <v>19.38569463</v>
      </c>
      <c r="E39" s="13">
        <f t="shared" ref="E39:F39" si="97">D39*1.25</f>
        <v>24.23211829</v>
      </c>
      <c r="F39" s="13">
        <f t="shared" si="97"/>
        <v>30.29014786</v>
      </c>
      <c r="G39" s="13">
        <f t="shared" si="6"/>
        <v>45.43522179</v>
      </c>
      <c r="H39" s="14">
        <f t="shared" si="7"/>
        <v>9</v>
      </c>
      <c r="I39" s="6"/>
      <c r="J39" s="6">
        <f t="shared" si="8"/>
        <v>9</v>
      </c>
      <c r="K39" s="13">
        <f t="shared" si="30"/>
        <v>41.25</v>
      </c>
      <c r="L39" s="13">
        <f t="shared" si="31"/>
        <v>46.25</v>
      </c>
      <c r="M39" s="15">
        <f t="shared" si="9"/>
        <v>45</v>
      </c>
      <c r="N39" s="13">
        <f t="shared" ref="N39:O39" si="98">M39*0.8</f>
        <v>36</v>
      </c>
      <c r="O39" s="13">
        <f t="shared" si="98"/>
        <v>28.8</v>
      </c>
      <c r="P39" s="6">
        <f t="shared" si="11"/>
        <v>36</v>
      </c>
      <c r="Q39" s="13">
        <f t="shared" si="12"/>
        <v>36</v>
      </c>
      <c r="R39" s="13">
        <f t="shared" si="13"/>
        <v>36</v>
      </c>
      <c r="S39" s="13">
        <f t="shared" si="14"/>
        <v>36</v>
      </c>
      <c r="T39" s="13">
        <f t="shared" si="15"/>
        <v>38</v>
      </c>
      <c r="U39" s="13">
        <f t="shared" si="16"/>
        <v>43.7</v>
      </c>
      <c r="V39" s="16">
        <f t="shared" si="17"/>
        <v>76</v>
      </c>
      <c r="X39" s="7">
        <f t="shared" si="18"/>
        <v>115</v>
      </c>
      <c r="Y39" s="17" t="s">
        <v>39</v>
      </c>
      <c r="Z39" s="17" t="s">
        <v>39</v>
      </c>
      <c r="AA39" s="15">
        <f t="shared" si="19"/>
        <v>87.5</v>
      </c>
      <c r="AB39" s="15">
        <f t="shared" si="20"/>
        <v>9</v>
      </c>
      <c r="AC39" s="18">
        <f t="shared" si="21"/>
        <v>17</v>
      </c>
      <c r="AD39" s="13">
        <f t="shared" si="22"/>
        <v>6.8</v>
      </c>
      <c r="AE39" s="13">
        <f t="shared" si="23"/>
        <v>9.714285714</v>
      </c>
      <c r="AF39" s="13">
        <f t="shared" si="24"/>
        <v>66</v>
      </c>
      <c r="AG39" s="13">
        <f t="shared" si="25"/>
        <v>37.71428571</v>
      </c>
      <c r="AH39" s="13">
        <f t="shared" si="26"/>
        <v>26.4</v>
      </c>
      <c r="AI39" s="6">
        <v>1.0</v>
      </c>
      <c r="AJ39" s="6">
        <v>1.0</v>
      </c>
      <c r="AK39" s="13">
        <f t="shared" si="27"/>
        <v>1.875</v>
      </c>
      <c r="AL39" s="16">
        <f t="shared" si="28"/>
        <v>1.875</v>
      </c>
    </row>
    <row r="40">
      <c r="A40" s="19"/>
      <c r="B40" s="5">
        <v>36.0</v>
      </c>
      <c r="C40" s="6">
        <f t="shared" si="3"/>
        <v>6.466017231</v>
      </c>
      <c r="D40" s="6">
        <f t="shared" si="4"/>
        <v>19.91100019</v>
      </c>
      <c r="E40" s="13">
        <f t="shared" ref="E40:F40" si="99">D40*1.25</f>
        <v>24.88875024</v>
      </c>
      <c r="F40" s="13">
        <f t="shared" si="99"/>
        <v>31.1109378</v>
      </c>
      <c r="G40" s="13">
        <f t="shared" si="6"/>
        <v>46.6664067</v>
      </c>
      <c r="H40" s="14">
        <f t="shared" si="7"/>
        <v>9.2</v>
      </c>
      <c r="I40" s="6"/>
      <c r="J40" s="6">
        <f t="shared" si="8"/>
        <v>9.2</v>
      </c>
      <c r="K40" s="13">
        <f t="shared" si="30"/>
        <v>42.4</v>
      </c>
      <c r="L40" s="13">
        <f t="shared" si="31"/>
        <v>47.5</v>
      </c>
      <c r="M40" s="15">
        <f t="shared" si="9"/>
        <v>46</v>
      </c>
      <c r="N40" s="13">
        <f t="shared" ref="N40:O40" si="100">M40*0.8</f>
        <v>36.8</v>
      </c>
      <c r="O40" s="13">
        <f t="shared" si="100"/>
        <v>29.44</v>
      </c>
      <c r="P40" s="6">
        <f t="shared" si="11"/>
        <v>37</v>
      </c>
      <c r="Q40" s="13">
        <f t="shared" si="12"/>
        <v>37</v>
      </c>
      <c r="R40" s="13">
        <f t="shared" si="13"/>
        <v>37</v>
      </c>
      <c r="S40" s="13">
        <f t="shared" si="14"/>
        <v>37</v>
      </c>
      <c r="T40" s="13">
        <f t="shared" si="15"/>
        <v>39</v>
      </c>
      <c r="U40" s="13">
        <f t="shared" si="16"/>
        <v>44.85</v>
      </c>
      <c r="V40" s="16">
        <f t="shared" si="17"/>
        <v>78</v>
      </c>
      <c r="X40" s="7">
        <f t="shared" si="18"/>
        <v>114</v>
      </c>
      <c r="Y40" s="17" t="s">
        <v>39</v>
      </c>
      <c r="Z40" s="17" t="s">
        <v>39</v>
      </c>
      <c r="AA40" s="15">
        <f t="shared" si="19"/>
        <v>90</v>
      </c>
      <c r="AB40" s="15">
        <f t="shared" si="20"/>
        <v>9.25</v>
      </c>
      <c r="AC40" s="18">
        <f t="shared" si="21"/>
        <v>16</v>
      </c>
      <c r="AD40" s="13">
        <f t="shared" si="22"/>
        <v>6.4</v>
      </c>
      <c r="AE40" s="13">
        <f t="shared" si="23"/>
        <v>9.142857143</v>
      </c>
      <c r="AF40" s="13">
        <f t="shared" si="24"/>
        <v>65</v>
      </c>
      <c r="AG40" s="13">
        <f t="shared" si="25"/>
        <v>37.14285714</v>
      </c>
      <c r="AH40" s="13">
        <f t="shared" si="26"/>
        <v>26</v>
      </c>
      <c r="AI40" s="6">
        <v>1.0</v>
      </c>
      <c r="AJ40" s="6">
        <v>1.0</v>
      </c>
      <c r="AK40" s="13">
        <f t="shared" si="27"/>
        <v>1.85</v>
      </c>
      <c r="AL40" s="16">
        <f t="shared" si="28"/>
        <v>1.85</v>
      </c>
    </row>
    <row r="41">
      <c r="A41" s="19"/>
      <c r="B41" s="5">
        <v>37.0</v>
      </c>
      <c r="C41" s="6">
        <f t="shared" si="3"/>
        <v>6.631739932</v>
      </c>
      <c r="D41" s="6">
        <f t="shared" si="4"/>
        <v>20.43630575</v>
      </c>
      <c r="E41" s="13">
        <f t="shared" ref="E41:F41" si="101">D41*1.25</f>
        <v>25.54538219</v>
      </c>
      <c r="F41" s="13">
        <f t="shared" si="101"/>
        <v>31.93172774</v>
      </c>
      <c r="G41" s="13">
        <f t="shared" si="6"/>
        <v>47.89759161</v>
      </c>
      <c r="H41" s="14">
        <f t="shared" si="7"/>
        <v>9.4</v>
      </c>
      <c r="I41" s="6"/>
      <c r="J41" s="6">
        <f t="shared" si="8"/>
        <v>9.4</v>
      </c>
      <c r="K41" s="13">
        <f t="shared" si="30"/>
        <v>43.55</v>
      </c>
      <c r="L41" s="13">
        <f t="shared" si="31"/>
        <v>48.75</v>
      </c>
      <c r="M41" s="15">
        <f t="shared" si="9"/>
        <v>47</v>
      </c>
      <c r="N41" s="13">
        <f t="shared" ref="N41:O41" si="102">M41*0.8</f>
        <v>37.6</v>
      </c>
      <c r="O41" s="13">
        <f t="shared" si="102"/>
        <v>30.08</v>
      </c>
      <c r="P41" s="6">
        <f t="shared" si="11"/>
        <v>38</v>
      </c>
      <c r="Q41" s="13">
        <f t="shared" si="12"/>
        <v>38</v>
      </c>
      <c r="R41" s="13">
        <f t="shared" si="13"/>
        <v>38</v>
      </c>
      <c r="S41" s="13">
        <f t="shared" si="14"/>
        <v>38</v>
      </c>
      <c r="T41" s="13">
        <f t="shared" si="15"/>
        <v>40</v>
      </c>
      <c r="U41" s="13">
        <f t="shared" si="16"/>
        <v>46</v>
      </c>
      <c r="V41" s="16">
        <f t="shared" si="17"/>
        <v>80</v>
      </c>
      <c r="X41" s="7">
        <f t="shared" si="18"/>
        <v>113</v>
      </c>
      <c r="Y41" s="17" t="s">
        <v>39</v>
      </c>
      <c r="Z41" s="17" t="s">
        <v>39</v>
      </c>
      <c r="AA41" s="15">
        <f t="shared" si="19"/>
        <v>92.5</v>
      </c>
      <c r="AB41" s="15">
        <f t="shared" si="20"/>
        <v>9.5</v>
      </c>
      <c r="AC41" s="18">
        <f t="shared" si="21"/>
        <v>15</v>
      </c>
      <c r="AD41" s="13">
        <f t="shared" si="22"/>
        <v>6</v>
      </c>
      <c r="AE41" s="13">
        <f t="shared" si="23"/>
        <v>8.571428571</v>
      </c>
      <c r="AF41" s="13">
        <f t="shared" si="24"/>
        <v>64</v>
      </c>
      <c r="AG41" s="13">
        <f t="shared" si="25"/>
        <v>36.57142857</v>
      </c>
      <c r="AH41" s="13">
        <f t="shared" si="26"/>
        <v>25.6</v>
      </c>
      <c r="AI41" s="6">
        <v>1.0</v>
      </c>
      <c r="AJ41" s="6">
        <v>1.0</v>
      </c>
      <c r="AK41" s="13">
        <f t="shared" si="27"/>
        <v>1.825</v>
      </c>
      <c r="AL41" s="16">
        <f t="shared" si="28"/>
        <v>1.825</v>
      </c>
    </row>
    <row r="42">
      <c r="A42" s="19"/>
      <c r="B42" s="5">
        <v>38.0</v>
      </c>
      <c r="C42" s="6">
        <f t="shared" si="3"/>
        <v>6.797462633</v>
      </c>
      <c r="D42" s="6">
        <f t="shared" si="4"/>
        <v>20.96161131</v>
      </c>
      <c r="E42" s="13">
        <f t="shared" ref="E42:F42" si="103">D42*1.25</f>
        <v>26.20201414</v>
      </c>
      <c r="F42" s="13">
        <f t="shared" si="103"/>
        <v>32.75251768</v>
      </c>
      <c r="G42" s="13">
        <f t="shared" si="6"/>
        <v>49.12877652</v>
      </c>
      <c r="H42" s="14">
        <f t="shared" si="7"/>
        <v>9.6</v>
      </c>
      <c r="I42" s="6"/>
      <c r="J42" s="6">
        <f t="shared" si="8"/>
        <v>9.6</v>
      </c>
      <c r="K42" s="13">
        <f t="shared" si="30"/>
        <v>44.7</v>
      </c>
      <c r="L42" s="13">
        <f t="shared" si="31"/>
        <v>50</v>
      </c>
      <c r="M42" s="15">
        <f t="shared" si="9"/>
        <v>48</v>
      </c>
      <c r="N42" s="13">
        <f t="shared" ref="N42:O42" si="104">M42*0.8</f>
        <v>38.4</v>
      </c>
      <c r="O42" s="13">
        <f t="shared" si="104"/>
        <v>30.72</v>
      </c>
      <c r="P42" s="6">
        <f t="shared" si="11"/>
        <v>39</v>
      </c>
      <c r="Q42" s="13">
        <f t="shared" si="12"/>
        <v>39</v>
      </c>
      <c r="R42" s="13">
        <f t="shared" si="13"/>
        <v>39</v>
      </c>
      <c r="S42" s="13">
        <f t="shared" si="14"/>
        <v>39</v>
      </c>
      <c r="T42" s="13">
        <f t="shared" si="15"/>
        <v>41</v>
      </c>
      <c r="U42" s="13">
        <f t="shared" si="16"/>
        <v>47.15</v>
      </c>
      <c r="V42" s="16">
        <f t="shared" si="17"/>
        <v>82</v>
      </c>
      <c r="X42" s="7">
        <f t="shared" si="18"/>
        <v>112</v>
      </c>
      <c r="Y42" s="17" t="s">
        <v>39</v>
      </c>
      <c r="Z42" s="17" t="s">
        <v>39</v>
      </c>
      <c r="AA42" s="15">
        <f t="shared" si="19"/>
        <v>95</v>
      </c>
      <c r="AB42" s="15">
        <f t="shared" si="20"/>
        <v>9.75</v>
      </c>
      <c r="AC42" s="18">
        <f t="shared" si="21"/>
        <v>14</v>
      </c>
      <c r="AD42" s="13">
        <f t="shared" si="22"/>
        <v>5.6</v>
      </c>
      <c r="AE42" s="13">
        <f t="shared" si="23"/>
        <v>8</v>
      </c>
      <c r="AF42" s="13">
        <f t="shared" si="24"/>
        <v>63</v>
      </c>
      <c r="AG42" s="13">
        <f t="shared" si="25"/>
        <v>36</v>
      </c>
      <c r="AH42" s="13">
        <f t="shared" si="26"/>
        <v>25.2</v>
      </c>
      <c r="AI42" s="6">
        <v>1.0</v>
      </c>
      <c r="AJ42" s="6">
        <v>1.0</v>
      </c>
      <c r="AK42" s="13">
        <f t="shared" si="27"/>
        <v>1.8</v>
      </c>
      <c r="AL42" s="16">
        <f t="shared" si="28"/>
        <v>1.8</v>
      </c>
    </row>
    <row r="43">
      <c r="A43" s="19"/>
      <c r="B43" s="5">
        <v>39.0</v>
      </c>
      <c r="C43" s="6">
        <f t="shared" si="3"/>
        <v>6.963185334</v>
      </c>
      <c r="D43" s="6">
        <f t="shared" si="4"/>
        <v>21.48691687</v>
      </c>
      <c r="E43" s="13">
        <f t="shared" ref="E43:F43" si="105">D43*1.25</f>
        <v>26.85864609</v>
      </c>
      <c r="F43" s="13">
        <f t="shared" si="105"/>
        <v>33.57330762</v>
      </c>
      <c r="G43" s="13">
        <f t="shared" si="6"/>
        <v>50.35996142</v>
      </c>
      <c r="H43" s="14">
        <f t="shared" si="7"/>
        <v>9.8</v>
      </c>
      <c r="I43" s="6"/>
      <c r="J43" s="6">
        <f t="shared" si="8"/>
        <v>9.8</v>
      </c>
      <c r="K43" s="13">
        <f t="shared" si="30"/>
        <v>45.85</v>
      </c>
      <c r="L43" s="13">
        <f t="shared" si="31"/>
        <v>51.25</v>
      </c>
      <c r="M43" s="15">
        <f t="shared" si="9"/>
        <v>49</v>
      </c>
      <c r="N43" s="13">
        <f t="shared" ref="N43:O43" si="106">M43*0.8</f>
        <v>39.2</v>
      </c>
      <c r="O43" s="13">
        <f t="shared" si="106"/>
        <v>31.36</v>
      </c>
      <c r="P43" s="6">
        <f t="shared" si="11"/>
        <v>40</v>
      </c>
      <c r="Q43" s="13">
        <f t="shared" si="12"/>
        <v>40</v>
      </c>
      <c r="R43" s="13">
        <f t="shared" si="13"/>
        <v>40</v>
      </c>
      <c r="S43" s="13">
        <f t="shared" si="14"/>
        <v>40</v>
      </c>
      <c r="T43" s="13">
        <f t="shared" si="15"/>
        <v>42</v>
      </c>
      <c r="U43" s="13">
        <f t="shared" si="16"/>
        <v>48.3</v>
      </c>
      <c r="V43" s="16">
        <f t="shared" si="17"/>
        <v>84</v>
      </c>
      <c r="X43" s="7">
        <f t="shared" si="18"/>
        <v>111</v>
      </c>
      <c r="Y43" s="17" t="s">
        <v>39</v>
      </c>
      <c r="Z43" s="17" t="s">
        <v>39</v>
      </c>
      <c r="AA43" s="15">
        <f t="shared" si="19"/>
        <v>97.5</v>
      </c>
      <c r="AB43" s="15">
        <f t="shared" si="20"/>
        <v>10</v>
      </c>
      <c r="AC43" s="18">
        <f t="shared" si="21"/>
        <v>13</v>
      </c>
      <c r="AD43" s="13">
        <f t="shared" si="22"/>
        <v>5.2</v>
      </c>
      <c r="AE43" s="13">
        <f t="shared" si="23"/>
        <v>7.428571429</v>
      </c>
      <c r="AF43" s="13">
        <f t="shared" si="24"/>
        <v>62</v>
      </c>
      <c r="AG43" s="13">
        <f t="shared" si="25"/>
        <v>35.42857143</v>
      </c>
      <c r="AH43" s="13">
        <f t="shared" si="26"/>
        <v>24.8</v>
      </c>
      <c r="AI43" s="6">
        <v>1.0</v>
      </c>
      <c r="AJ43" s="6">
        <v>1.0</v>
      </c>
      <c r="AK43" s="13">
        <f t="shared" si="27"/>
        <v>1.775</v>
      </c>
      <c r="AL43" s="16">
        <f t="shared" si="28"/>
        <v>1.775</v>
      </c>
    </row>
    <row r="44">
      <c r="A44" s="19"/>
      <c r="B44" s="5">
        <v>40.0</v>
      </c>
      <c r="C44" s="6">
        <f t="shared" si="3"/>
        <v>7.128908035</v>
      </c>
      <c r="D44" s="6">
        <f t="shared" si="4"/>
        <v>22.01222244</v>
      </c>
      <c r="E44" s="13">
        <f t="shared" ref="E44:F44" si="107">D44*1.25</f>
        <v>27.51527804</v>
      </c>
      <c r="F44" s="13">
        <f t="shared" si="107"/>
        <v>34.39409756</v>
      </c>
      <c r="G44" s="13">
        <f t="shared" si="6"/>
        <v>51.59114633</v>
      </c>
      <c r="H44" s="14">
        <f t="shared" si="7"/>
        <v>10</v>
      </c>
      <c r="I44" s="6"/>
      <c r="J44" s="6">
        <f t="shared" si="8"/>
        <v>10</v>
      </c>
      <c r="K44" s="13">
        <f t="shared" si="30"/>
        <v>47</v>
      </c>
      <c r="L44" s="13">
        <f t="shared" si="31"/>
        <v>52.5</v>
      </c>
      <c r="M44" s="15">
        <f t="shared" si="9"/>
        <v>50</v>
      </c>
      <c r="N44" s="13">
        <f t="shared" ref="N44:O44" si="108">M44*0.8</f>
        <v>40</v>
      </c>
      <c r="O44" s="13">
        <f t="shared" si="108"/>
        <v>32</v>
      </c>
      <c r="P44" s="6">
        <f t="shared" si="11"/>
        <v>41</v>
      </c>
      <c r="Q44" s="13">
        <f t="shared" si="12"/>
        <v>41</v>
      </c>
      <c r="R44" s="13">
        <f t="shared" si="13"/>
        <v>41</v>
      </c>
      <c r="S44" s="13">
        <f t="shared" si="14"/>
        <v>41</v>
      </c>
      <c r="T44" s="13">
        <f t="shared" si="15"/>
        <v>43</v>
      </c>
      <c r="U44" s="13">
        <f t="shared" si="16"/>
        <v>49.45</v>
      </c>
      <c r="V44" s="16">
        <f t="shared" si="17"/>
        <v>86</v>
      </c>
      <c r="X44" s="7">
        <f t="shared" si="18"/>
        <v>110</v>
      </c>
      <c r="Y44" s="17" t="s">
        <v>39</v>
      </c>
      <c r="Z44" s="17" t="s">
        <v>39</v>
      </c>
      <c r="AA44" s="15">
        <f t="shared" si="19"/>
        <v>100</v>
      </c>
      <c r="AB44" s="15">
        <f t="shared" si="20"/>
        <v>10.25</v>
      </c>
      <c r="AC44" s="18">
        <f t="shared" si="21"/>
        <v>12</v>
      </c>
      <c r="AD44" s="13">
        <f t="shared" si="22"/>
        <v>4.8</v>
      </c>
      <c r="AE44" s="13">
        <f t="shared" si="23"/>
        <v>6.857142857</v>
      </c>
      <c r="AF44" s="13">
        <f t="shared" si="24"/>
        <v>61</v>
      </c>
      <c r="AG44" s="13">
        <f t="shared" si="25"/>
        <v>34.85714286</v>
      </c>
      <c r="AH44" s="13">
        <f t="shared" si="26"/>
        <v>24.4</v>
      </c>
      <c r="AI44" s="6">
        <v>1.0</v>
      </c>
      <c r="AJ44" s="6">
        <v>1.0</v>
      </c>
      <c r="AK44" s="13">
        <f t="shared" si="27"/>
        <v>1.75</v>
      </c>
      <c r="AL44" s="16">
        <f t="shared" si="28"/>
        <v>1.75</v>
      </c>
    </row>
    <row r="45">
      <c r="A45" s="19"/>
      <c r="B45" s="5">
        <v>41.0</v>
      </c>
      <c r="C45" s="6">
        <f t="shared" si="3"/>
        <v>7.294630736</v>
      </c>
      <c r="D45" s="6">
        <f t="shared" si="4"/>
        <v>22.537528</v>
      </c>
      <c r="E45" s="13">
        <f t="shared" ref="E45:F45" si="109">D45*1.25</f>
        <v>28.17191</v>
      </c>
      <c r="F45" s="13">
        <f t="shared" si="109"/>
        <v>35.21488749</v>
      </c>
      <c r="G45" s="13">
        <f t="shared" si="6"/>
        <v>52.82233124</v>
      </c>
      <c r="H45" s="14">
        <f t="shared" si="7"/>
        <v>10.2</v>
      </c>
      <c r="I45" s="6"/>
      <c r="J45" s="6">
        <f t="shared" si="8"/>
        <v>10.2</v>
      </c>
      <c r="K45" s="13">
        <f t="shared" si="30"/>
        <v>48.15</v>
      </c>
      <c r="L45" s="13">
        <f t="shared" si="31"/>
        <v>53.75</v>
      </c>
      <c r="M45" s="15">
        <f t="shared" si="9"/>
        <v>51</v>
      </c>
      <c r="N45" s="13">
        <f t="shared" ref="N45:O45" si="110">M45*0.8</f>
        <v>40.8</v>
      </c>
      <c r="O45" s="13">
        <f t="shared" si="110"/>
        <v>32.64</v>
      </c>
      <c r="P45" s="6">
        <f t="shared" si="11"/>
        <v>42</v>
      </c>
      <c r="Q45" s="13">
        <f t="shared" si="12"/>
        <v>42</v>
      </c>
      <c r="R45" s="13">
        <f t="shared" si="13"/>
        <v>42</v>
      </c>
      <c r="S45" s="13">
        <f t="shared" si="14"/>
        <v>42</v>
      </c>
      <c r="T45" s="13">
        <f t="shared" si="15"/>
        <v>44</v>
      </c>
      <c r="U45" s="13">
        <f t="shared" si="16"/>
        <v>50.6</v>
      </c>
      <c r="V45" s="16">
        <f t="shared" si="17"/>
        <v>88</v>
      </c>
      <c r="X45" s="7">
        <f t="shared" si="18"/>
        <v>109</v>
      </c>
      <c r="Y45" s="17" t="s">
        <v>39</v>
      </c>
      <c r="Z45" s="17" t="s">
        <v>39</v>
      </c>
      <c r="AA45" s="15">
        <f t="shared" si="19"/>
        <v>102.5</v>
      </c>
      <c r="AB45" s="15">
        <f t="shared" si="20"/>
        <v>10.5</v>
      </c>
      <c r="AC45" s="18">
        <f t="shared" si="21"/>
        <v>11</v>
      </c>
      <c r="AD45" s="13">
        <f t="shared" si="22"/>
        <v>4.4</v>
      </c>
      <c r="AE45" s="13">
        <f t="shared" si="23"/>
        <v>6.285714286</v>
      </c>
      <c r="AF45" s="13">
        <f t="shared" si="24"/>
        <v>60</v>
      </c>
      <c r="AG45" s="13">
        <f t="shared" si="25"/>
        <v>34.28571429</v>
      </c>
      <c r="AH45" s="13">
        <f t="shared" si="26"/>
        <v>24</v>
      </c>
      <c r="AI45" s="6">
        <v>1.0</v>
      </c>
      <c r="AJ45" s="6">
        <v>1.0</v>
      </c>
      <c r="AK45" s="13">
        <f t="shared" si="27"/>
        <v>1.725</v>
      </c>
      <c r="AL45" s="16">
        <f t="shared" si="28"/>
        <v>1.725</v>
      </c>
    </row>
    <row r="46">
      <c r="A46" s="19"/>
      <c r="B46" s="5">
        <v>42.0</v>
      </c>
      <c r="C46" s="6">
        <f t="shared" si="3"/>
        <v>7.460353436</v>
      </c>
      <c r="D46" s="6">
        <f t="shared" si="4"/>
        <v>23.06283356</v>
      </c>
      <c r="E46" s="13">
        <f t="shared" ref="E46:F46" si="111">D46*1.25</f>
        <v>28.82854195</v>
      </c>
      <c r="F46" s="13">
        <f t="shared" si="111"/>
        <v>36.03567743</v>
      </c>
      <c r="G46" s="13">
        <f t="shared" si="6"/>
        <v>54.05351615</v>
      </c>
      <c r="H46" s="14">
        <f t="shared" si="7"/>
        <v>10.4</v>
      </c>
      <c r="I46" s="6"/>
      <c r="J46" s="6">
        <f t="shared" si="8"/>
        <v>10.4</v>
      </c>
      <c r="K46" s="13">
        <f t="shared" si="30"/>
        <v>49.3</v>
      </c>
      <c r="L46" s="13">
        <f t="shared" si="31"/>
        <v>55</v>
      </c>
      <c r="M46" s="15">
        <f t="shared" si="9"/>
        <v>52</v>
      </c>
      <c r="N46" s="13">
        <f t="shared" ref="N46:O46" si="112">M46*0.8</f>
        <v>41.6</v>
      </c>
      <c r="O46" s="13">
        <f t="shared" si="112"/>
        <v>33.28</v>
      </c>
      <c r="P46" s="6">
        <f t="shared" si="11"/>
        <v>43</v>
      </c>
      <c r="Q46" s="13">
        <f t="shared" si="12"/>
        <v>43</v>
      </c>
      <c r="R46" s="13">
        <f t="shared" si="13"/>
        <v>43</v>
      </c>
      <c r="S46" s="13">
        <f t="shared" si="14"/>
        <v>43</v>
      </c>
      <c r="T46" s="13">
        <f t="shared" si="15"/>
        <v>45</v>
      </c>
      <c r="U46" s="13">
        <f t="shared" si="16"/>
        <v>51.75</v>
      </c>
      <c r="V46" s="16">
        <f t="shared" si="17"/>
        <v>90</v>
      </c>
      <c r="X46" s="7">
        <f t="shared" si="18"/>
        <v>108</v>
      </c>
      <c r="Y46" s="17" t="s">
        <v>39</v>
      </c>
      <c r="Z46" s="17" t="s">
        <v>39</v>
      </c>
      <c r="AA46" s="15">
        <f t="shared" si="19"/>
        <v>105</v>
      </c>
      <c r="AB46" s="15">
        <f t="shared" si="20"/>
        <v>10.75</v>
      </c>
      <c r="AC46" s="18">
        <f t="shared" si="21"/>
        <v>10</v>
      </c>
      <c r="AD46" s="13">
        <f t="shared" si="22"/>
        <v>4</v>
      </c>
      <c r="AE46" s="13">
        <f t="shared" si="23"/>
        <v>5.714285714</v>
      </c>
      <c r="AF46" s="13">
        <f t="shared" si="24"/>
        <v>59</v>
      </c>
      <c r="AG46" s="13">
        <f t="shared" si="25"/>
        <v>33.71428571</v>
      </c>
      <c r="AH46" s="13">
        <f t="shared" si="26"/>
        <v>23.6</v>
      </c>
      <c r="AI46" s="6">
        <v>1.0</v>
      </c>
      <c r="AJ46" s="6">
        <v>1.0</v>
      </c>
      <c r="AK46" s="13">
        <f t="shared" si="27"/>
        <v>1.7</v>
      </c>
      <c r="AL46" s="16">
        <f t="shared" si="28"/>
        <v>1.7</v>
      </c>
    </row>
    <row r="47">
      <c r="A47" s="19"/>
      <c r="B47" s="5">
        <v>43.0</v>
      </c>
      <c r="C47" s="6">
        <f t="shared" si="3"/>
        <v>7.626076137</v>
      </c>
      <c r="D47" s="6">
        <f t="shared" si="4"/>
        <v>23.58813912</v>
      </c>
      <c r="E47" s="13">
        <f t="shared" ref="E47:F47" si="113">D47*1.25</f>
        <v>29.4851739</v>
      </c>
      <c r="F47" s="13">
        <f t="shared" si="113"/>
        <v>36.85646737</v>
      </c>
      <c r="G47" s="13">
        <f t="shared" si="6"/>
        <v>55.28470106</v>
      </c>
      <c r="H47" s="14">
        <f t="shared" si="7"/>
        <v>10.6</v>
      </c>
      <c r="I47" s="6"/>
      <c r="J47" s="6">
        <f t="shared" si="8"/>
        <v>10.6</v>
      </c>
      <c r="K47" s="13">
        <f t="shared" si="30"/>
        <v>50.45</v>
      </c>
      <c r="L47" s="13">
        <f t="shared" si="31"/>
        <v>56.25</v>
      </c>
      <c r="M47" s="15">
        <f t="shared" si="9"/>
        <v>53</v>
      </c>
      <c r="N47" s="13">
        <f t="shared" ref="N47:O47" si="114">M47*0.8</f>
        <v>42.4</v>
      </c>
      <c r="O47" s="13">
        <f t="shared" si="114"/>
        <v>33.92</v>
      </c>
      <c r="P47" s="6">
        <f t="shared" si="11"/>
        <v>44</v>
      </c>
      <c r="Q47" s="13">
        <f t="shared" si="12"/>
        <v>44</v>
      </c>
      <c r="R47" s="13">
        <f t="shared" si="13"/>
        <v>44</v>
      </c>
      <c r="S47" s="13">
        <f t="shared" si="14"/>
        <v>44</v>
      </c>
      <c r="T47" s="13">
        <f t="shared" si="15"/>
        <v>46</v>
      </c>
      <c r="U47" s="13">
        <f t="shared" si="16"/>
        <v>52.9</v>
      </c>
      <c r="V47" s="16">
        <f t="shared" si="17"/>
        <v>92</v>
      </c>
      <c r="X47" s="7">
        <f t="shared" si="18"/>
        <v>107</v>
      </c>
      <c r="Y47" s="17" t="s">
        <v>39</v>
      </c>
      <c r="Z47" s="17" t="s">
        <v>39</v>
      </c>
      <c r="AA47" s="15">
        <f t="shared" si="19"/>
        <v>107.5</v>
      </c>
      <c r="AB47" s="15">
        <f t="shared" si="20"/>
        <v>11</v>
      </c>
      <c r="AC47" s="18">
        <f t="shared" si="21"/>
        <v>9</v>
      </c>
      <c r="AD47" s="13">
        <f t="shared" si="22"/>
        <v>3.6</v>
      </c>
      <c r="AE47" s="13">
        <f t="shared" si="23"/>
        <v>5.142857143</v>
      </c>
      <c r="AF47" s="13">
        <f t="shared" si="24"/>
        <v>58</v>
      </c>
      <c r="AG47" s="13">
        <f t="shared" si="25"/>
        <v>33.14285714</v>
      </c>
      <c r="AH47" s="13">
        <f t="shared" si="26"/>
        <v>23.2</v>
      </c>
      <c r="AI47" s="6">
        <v>1.0</v>
      </c>
      <c r="AJ47" s="6">
        <v>1.0</v>
      </c>
      <c r="AK47" s="13">
        <f t="shared" si="27"/>
        <v>1.675</v>
      </c>
      <c r="AL47" s="16">
        <f t="shared" si="28"/>
        <v>1.675</v>
      </c>
    </row>
    <row r="48">
      <c r="A48" s="19"/>
      <c r="B48" s="5">
        <v>44.0</v>
      </c>
      <c r="C48" s="6">
        <f t="shared" si="3"/>
        <v>7.791798838</v>
      </c>
      <c r="D48" s="6">
        <f t="shared" si="4"/>
        <v>24.11344468</v>
      </c>
      <c r="E48" s="13">
        <f t="shared" ref="E48:F48" si="115">D48*1.25</f>
        <v>30.14180585</v>
      </c>
      <c r="F48" s="13">
        <f t="shared" si="115"/>
        <v>37.67725731</v>
      </c>
      <c r="G48" s="13">
        <f t="shared" si="6"/>
        <v>56.51588597</v>
      </c>
      <c r="H48" s="14">
        <f t="shared" si="7"/>
        <v>10.8</v>
      </c>
      <c r="I48" s="6"/>
      <c r="J48" s="6">
        <f t="shared" si="8"/>
        <v>10.8</v>
      </c>
      <c r="K48" s="13">
        <f t="shared" si="30"/>
        <v>51.6</v>
      </c>
      <c r="L48" s="13">
        <f t="shared" si="31"/>
        <v>57.5</v>
      </c>
      <c r="M48" s="15">
        <f t="shared" si="9"/>
        <v>54</v>
      </c>
      <c r="N48" s="13">
        <f t="shared" ref="N48:O48" si="116">M48*0.8</f>
        <v>43.2</v>
      </c>
      <c r="O48" s="13">
        <f t="shared" si="116"/>
        <v>34.56</v>
      </c>
      <c r="P48" s="6">
        <f t="shared" si="11"/>
        <v>45</v>
      </c>
      <c r="Q48" s="13">
        <f t="shared" si="12"/>
        <v>45</v>
      </c>
      <c r="R48" s="13">
        <f t="shared" si="13"/>
        <v>45</v>
      </c>
      <c r="S48" s="13">
        <f t="shared" si="14"/>
        <v>45</v>
      </c>
      <c r="T48" s="13">
        <f t="shared" si="15"/>
        <v>47</v>
      </c>
      <c r="U48" s="13">
        <f t="shared" si="16"/>
        <v>54.05</v>
      </c>
      <c r="V48" s="16">
        <f t="shared" si="17"/>
        <v>94</v>
      </c>
      <c r="X48" s="7">
        <f t="shared" si="18"/>
        <v>106</v>
      </c>
      <c r="Y48" s="17" t="s">
        <v>39</v>
      </c>
      <c r="Z48" s="17" t="s">
        <v>39</v>
      </c>
      <c r="AA48" s="15">
        <f t="shared" si="19"/>
        <v>110</v>
      </c>
      <c r="AB48" s="15">
        <f t="shared" si="20"/>
        <v>11.25</v>
      </c>
      <c r="AC48" s="18">
        <f t="shared" si="21"/>
        <v>8</v>
      </c>
      <c r="AD48" s="13">
        <f t="shared" si="22"/>
        <v>3.2</v>
      </c>
      <c r="AE48" s="13">
        <f t="shared" si="23"/>
        <v>4.571428571</v>
      </c>
      <c r="AF48" s="13">
        <f t="shared" si="24"/>
        <v>57</v>
      </c>
      <c r="AG48" s="13">
        <f t="shared" si="25"/>
        <v>32.57142857</v>
      </c>
      <c r="AH48" s="13">
        <f t="shared" si="26"/>
        <v>22.8</v>
      </c>
      <c r="AI48" s="6">
        <v>1.0</v>
      </c>
      <c r="AJ48" s="6">
        <v>1.0</v>
      </c>
      <c r="AK48" s="13">
        <f t="shared" si="27"/>
        <v>1.65</v>
      </c>
      <c r="AL48" s="16">
        <f t="shared" si="28"/>
        <v>1.65</v>
      </c>
    </row>
    <row r="49">
      <c r="A49" s="19"/>
      <c r="B49" s="5">
        <v>45.0</v>
      </c>
      <c r="C49" s="6">
        <f t="shared" si="3"/>
        <v>7.957521539</v>
      </c>
      <c r="D49" s="6">
        <f t="shared" si="4"/>
        <v>24.63875024</v>
      </c>
      <c r="E49" s="13">
        <f t="shared" ref="E49:F49" si="117">D49*1.25</f>
        <v>30.7984378</v>
      </c>
      <c r="F49" s="13">
        <f t="shared" si="117"/>
        <v>38.49804725</v>
      </c>
      <c r="G49" s="13">
        <f t="shared" si="6"/>
        <v>57.74707087</v>
      </c>
      <c r="H49" s="14">
        <f t="shared" si="7"/>
        <v>11</v>
      </c>
      <c r="I49" s="6"/>
      <c r="J49" s="6">
        <f t="shared" si="8"/>
        <v>11</v>
      </c>
      <c r="K49" s="13">
        <f t="shared" si="30"/>
        <v>52.75</v>
      </c>
      <c r="L49" s="13">
        <f t="shared" si="31"/>
        <v>58.75</v>
      </c>
      <c r="M49" s="15">
        <f t="shared" si="9"/>
        <v>55</v>
      </c>
      <c r="N49" s="13">
        <f t="shared" ref="N49:O49" si="118">M49*0.8</f>
        <v>44</v>
      </c>
      <c r="O49" s="13">
        <f t="shared" si="118"/>
        <v>35.2</v>
      </c>
      <c r="P49" s="6">
        <f t="shared" si="11"/>
        <v>46</v>
      </c>
      <c r="Q49" s="13">
        <f t="shared" si="12"/>
        <v>46</v>
      </c>
      <c r="R49" s="13">
        <f t="shared" si="13"/>
        <v>46</v>
      </c>
      <c r="S49" s="13">
        <f t="shared" si="14"/>
        <v>46</v>
      </c>
      <c r="T49" s="13">
        <f t="shared" si="15"/>
        <v>48</v>
      </c>
      <c r="U49" s="13">
        <f t="shared" si="16"/>
        <v>55.2</v>
      </c>
      <c r="V49" s="16">
        <f t="shared" si="17"/>
        <v>96</v>
      </c>
      <c r="X49" s="7">
        <f t="shared" si="18"/>
        <v>105</v>
      </c>
      <c r="Y49" s="17" t="s">
        <v>39</v>
      </c>
      <c r="Z49" s="17" t="s">
        <v>39</v>
      </c>
      <c r="AA49" s="15">
        <f t="shared" si="19"/>
        <v>112.5</v>
      </c>
      <c r="AB49" s="15">
        <f t="shared" si="20"/>
        <v>11.5</v>
      </c>
      <c r="AC49" s="18">
        <f t="shared" si="21"/>
        <v>7</v>
      </c>
      <c r="AD49" s="13">
        <f t="shared" si="22"/>
        <v>2.8</v>
      </c>
      <c r="AE49" s="13">
        <f t="shared" si="23"/>
        <v>4</v>
      </c>
      <c r="AF49" s="13">
        <f t="shared" si="24"/>
        <v>56</v>
      </c>
      <c r="AG49" s="13">
        <f t="shared" si="25"/>
        <v>32</v>
      </c>
      <c r="AH49" s="13">
        <f t="shared" si="26"/>
        <v>22.4</v>
      </c>
      <c r="AI49" s="6">
        <v>1.0</v>
      </c>
      <c r="AJ49" s="6">
        <v>1.0</v>
      </c>
      <c r="AK49" s="13">
        <f t="shared" si="27"/>
        <v>1.625</v>
      </c>
      <c r="AL49" s="16">
        <f t="shared" si="28"/>
        <v>1.625</v>
      </c>
    </row>
    <row r="50">
      <c r="A50" s="19"/>
      <c r="B50" s="5">
        <v>46.0</v>
      </c>
      <c r="C50" s="6">
        <f t="shared" si="3"/>
        <v>8.12324424</v>
      </c>
      <c r="D50" s="6">
        <f t="shared" si="4"/>
        <v>25.1640558</v>
      </c>
      <c r="E50" s="13">
        <f t="shared" ref="E50:F50" si="119">D50*1.25</f>
        <v>31.45506975</v>
      </c>
      <c r="F50" s="13">
        <f t="shared" si="119"/>
        <v>39.31883719</v>
      </c>
      <c r="G50" s="13">
        <f t="shared" si="6"/>
        <v>58.97825578</v>
      </c>
      <c r="H50" s="14">
        <f t="shared" si="7"/>
        <v>11.2</v>
      </c>
      <c r="I50" s="6"/>
      <c r="J50" s="6">
        <f t="shared" si="8"/>
        <v>11.2</v>
      </c>
      <c r="K50" s="13">
        <f t="shared" si="30"/>
        <v>53.9</v>
      </c>
      <c r="L50" s="13">
        <f t="shared" si="31"/>
        <v>60</v>
      </c>
      <c r="M50" s="15">
        <f t="shared" si="9"/>
        <v>56</v>
      </c>
      <c r="N50" s="13">
        <f t="shared" ref="N50:O50" si="120">M50*0.8</f>
        <v>44.8</v>
      </c>
      <c r="O50" s="13">
        <f t="shared" si="120"/>
        <v>35.84</v>
      </c>
      <c r="P50" s="6">
        <f t="shared" si="11"/>
        <v>47</v>
      </c>
      <c r="Q50" s="13">
        <f t="shared" si="12"/>
        <v>47</v>
      </c>
      <c r="R50" s="13">
        <f t="shared" si="13"/>
        <v>47</v>
      </c>
      <c r="S50" s="13">
        <f t="shared" si="14"/>
        <v>47</v>
      </c>
      <c r="T50" s="13">
        <f t="shared" si="15"/>
        <v>49</v>
      </c>
      <c r="U50" s="13">
        <f t="shared" si="16"/>
        <v>56.35</v>
      </c>
      <c r="V50" s="16">
        <f t="shared" si="17"/>
        <v>98</v>
      </c>
      <c r="X50" s="7">
        <f t="shared" si="18"/>
        <v>104</v>
      </c>
      <c r="Y50" s="17" t="s">
        <v>39</v>
      </c>
      <c r="Z50" s="17" t="s">
        <v>39</v>
      </c>
      <c r="AA50" s="15">
        <f t="shared" si="19"/>
        <v>115</v>
      </c>
      <c r="AB50" s="15">
        <f t="shared" si="20"/>
        <v>11.75</v>
      </c>
      <c r="AC50" s="18">
        <f t="shared" si="21"/>
        <v>6</v>
      </c>
      <c r="AD50" s="13">
        <f t="shared" si="22"/>
        <v>2.4</v>
      </c>
      <c r="AE50" s="13">
        <f t="shared" si="23"/>
        <v>3.428571429</v>
      </c>
      <c r="AF50" s="13">
        <f t="shared" si="24"/>
        <v>55</v>
      </c>
      <c r="AG50" s="13">
        <f t="shared" si="25"/>
        <v>31.42857143</v>
      </c>
      <c r="AH50" s="13">
        <f t="shared" si="26"/>
        <v>22</v>
      </c>
      <c r="AI50" s="6">
        <v>1.0</v>
      </c>
      <c r="AJ50" s="6">
        <v>1.0</v>
      </c>
      <c r="AK50" s="13">
        <f t="shared" si="27"/>
        <v>1.6</v>
      </c>
      <c r="AL50" s="16">
        <f t="shared" si="28"/>
        <v>1.6</v>
      </c>
    </row>
    <row r="51">
      <c r="A51" s="19"/>
      <c r="B51" s="5">
        <v>47.0</v>
      </c>
      <c r="C51" s="6">
        <f t="shared" si="3"/>
        <v>8.288966941</v>
      </c>
      <c r="D51" s="6">
        <f t="shared" si="4"/>
        <v>25.68936136</v>
      </c>
      <c r="E51" s="13">
        <f t="shared" ref="E51:F51" si="121">D51*1.25</f>
        <v>32.1117017</v>
      </c>
      <c r="F51" s="13">
        <f t="shared" si="121"/>
        <v>40.13962713</v>
      </c>
      <c r="G51" s="13">
        <f t="shared" si="6"/>
        <v>60.20944069</v>
      </c>
      <c r="H51" s="14">
        <f t="shared" si="7"/>
        <v>11.4</v>
      </c>
      <c r="I51" s="6"/>
      <c r="J51" s="6">
        <f t="shared" si="8"/>
        <v>11.4</v>
      </c>
      <c r="K51" s="13">
        <f t="shared" si="30"/>
        <v>55.05</v>
      </c>
      <c r="L51" s="13">
        <f t="shared" si="31"/>
        <v>61.25</v>
      </c>
      <c r="M51" s="15">
        <f t="shared" si="9"/>
        <v>57</v>
      </c>
      <c r="N51" s="13">
        <f t="shared" ref="N51:O51" si="122">M51*0.8</f>
        <v>45.6</v>
      </c>
      <c r="O51" s="13">
        <f t="shared" si="122"/>
        <v>36.48</v>
      </c>
      <c r="P51" s="6">
        <f t="shared" si="11"/>
        <v>48</v>
      </c>
      <c r="Q51" s="13">
        <f t="shared" si="12"/>
        <v>48</v>
      </c>
      <c r="R51" s="13">
        <f t="shared" si="13"/>
        <v>48</v>
      </c>
      <c r="S51" s="13">
        <f t="shared" si="14"/>
        <v>48</v>
      </c>
      <c r="T51" s="13">
        <f t="shared" si="15"/>
        <v>50</v>
      </c>
      <c r="U51" s="13">
        <f t="shared" si="16"/>
        <v>57.5</v>
      </c>
      <c r="V51" s="16">
        <f t="shared" si="17"/>
        <v>100</v>
      </c>
      <c r="X51" s="7">
        <f t="shared" si="18"/>
        <v>103</v>
      </c>
      <c r="Y51" s="17" t="s">
        <v>39</v>
      </c>
      <c r="Z51" s="17" t="s">
        <v>39</v>
      </c>
      <c r="AA51" s="15">
        <f t="shared" si="19"/>
        <v>117.5</v>
      </c>
      <c r="AB51" s="15">
        <f t="shared" si="20"/>
        <v>12</v>
      </c>
      <c r="AC51" s="18">
        <f t="shared" si="21"/>
        <v>5</v>
      </c>
      <c r="AD51" s="13">
        <f t="shared" si="22"/>
        <v>2</v>
      </c>
      <c r="AE51" s="13">
        <f t="shared" si="23"/>
        <v>2.857142857</v>
      </c>
      <c r="AF51" s="13">
        <f t="shared" si="24"/>
        <v>54</v>
      </c>
      <c r="AG51" s="13">
        <f t="shared" si="25"/>
        <v>30.85714286</v>
      </c>
      <c r="AH51" s="13">
        <f t="shared" si="26"/>
        <v>21.6</v>
      </c>
      <c r="AI51" s="6">
        <v>1.0</v>
      </c>
      <c r="AJ51" s="6">
        <v>1.0</v>
      </c>
      <c r="AK51" s="13">
        <f t="shared" si="27"/>
        <v>1.575</v>
      </c>
      <c r="AL51" s="16">
        <f t="shared" si="28"/>
        <v>1.575</v>
      </c>
    </row>
    <row r="52">
      <c r="A52" s="19"/>
      <c r="B52" s="5">
        <v>48.0</v>
      </c>
      <c r="C52" s="6">
        <f t="shared" si="3"/>
        <v>8.454689642</v>
      </c>
      <c r="D52" s="6">
        <f t="shared" si="4"/>
        <v>26.21466692</v>
      </c>
      <c r="E52" s="13">
        <f t="shared" ref="E52:F52" si="123">D52*1.25</f>
        <v>32.76833365</v>
      </c>
      <c r="F52" s="13">
        <f t="shared" si="123"/>
        <v>40.96041707</v>
      </c>
      <c r="G52" s="13">
        <f t="shared" si="6"/>
        <v>61.4406256</v>
      </c>
      <c r="H52" s="14">
        <f t="shared" si="7"/>
        <v>11.6</v>
      </c>
      <c r="I52" s="6"/>
      <c r="J52" s="6">
        <f t="shared" si="8"/>
        <v>11.6</v>
      </c>
      <c r="K52" s="13">
        <f t="shared" si="30"/>
        <v>56.2</v>
      </c>
      <c r="L52" s="13">
        <f t="shared" si="31"/>
        <v>62.5</v>
      </c>
      <c r="M52" s="15">
        <f t="shared" si="9"/>
        <v>58</v>
      </c>
      <c r="N52" s="13">
        <f t="shared" ref="N52:O52" si="124">M52*0.8</f>
        <v>46.4</v>
      </c>
      <c r="O52" s="13">
        <f t="shared" si="124"/>
        <v>37.12</v>
      </c>
      <c r="P52" s="6">
        <f t="shared" si="11"/>
        <v>49</v>
      </c>
      <c r="Q52" s="13">
        <f t="shared" si="12"/>
        <v>49</v>
      </c>
      <c r="R52" s="13">
        <f t="shared" si="13"/>
        <v>49</v>
      </c>
      <c r="S52" s="13">
        <f t="shared" si="14"/>
        <v>49</v>
      </c>
      <c r="T52" s="13">
        <f t="shared" si="15"/>
        <v>51</v>
      </c>
      <c r="U52" s="13">
        <f t="shared" si="16"/>
        <v>58.65</v>
      </c>
      <c r="V52" s="16">
        <f t="shared" si="17"/>
        <v>102</v>
      </c>
      <c r="X52" s="7">
        <f t="shared" si="18"/>
        <v>102</v>
      </c>
      <c r="Y52" s="17" t="s">
        <v>39</v>
      </c>
      <c r="Z52" s="17" t="s">
        <v>39</v>
      </c>
      <c r="AA52" s="15">
        <f t="shared" si="19"/>
        <v>120</v>
      </c>
      <c r="AB52" s="15">
        <f t="shared" si="20"/>
        <v>12.25</v>
      </c>
      <c r="AC52" s="18">
        <f t="shared" si="21"/>
        <v>4</v>
      </c>
      <c r="AD52" s="13">
        <f t="shared" si="22"/>
        <v>1.6</v>
      </c>
      <c r="AE52" s="13">
        <f t="shared" si="23"/>
        <v>2.285714286</v>
      </c>
      <c r="AF52" s="13">
        <f t="shared" si="24"/>
        <v>53</v>
      </c>
      <c r="AG52" s="13">
        <f t="shared" si="25"/>
        <v>30.28571429</v>
      </c>
      <c r="AH52" s="13">
        <f t="shared" si="26"/>
        <v>21.2</v>
      </c>
      <c r="AI52" s="6">
        <v>1.0</v>
      </c>
      <c r="AJ52" s="6">
        <v>1.0</v>
      </c>
      <c r="AK52" s="13">
        <f t="shared" si="27"/>
        <v>1.55</v>
      </c>
      <c r="AL52" s="16">
        <f t="shared" si="28"/>
        <v>1.55</v>
      </c>
    </row>
    <row r="53">
      <c r="A53" s="19"/>
      <c r="B53" s="5">
        <v>49.0</v>
      </c>
      <c r="C53" s="6">
        <f t="shared" si="3"/>
        <v>8.620412342</v>
      </c>
      <c r="D53" s="6">
        <f t="shared" si="4"/>
        <v>26.73997248</v>
      </c>
      <c r="E53" s="13">
        <f t="shared" ref="E53:F53" si="125">D53*1.25</f>
        <v>33.4249656</v>
      </c>
      <c r="F53" s="13">
        <f t="shared" si="125"/>
        <v>41.781207</v>
      </c>
      <c r="G53" s="13">
        <f t="shared" si="6"/>
        <v>62.67181051</v>
      </c>
      <c r="H53" s="14">
        <f t="shared" si="7"/>
        <v>11.8</v>
      </c>
      <c r="I53" s="6"/>
      <c r="J53" s="6">
        <f t="shared" si="8"/>
        <v>11.8</v>
      </c>
      <c r="K53" s="13">
        <f t="shared" si="30"/>
        <v>57.35</v>
      </c>
      <c r="L53" s="13">
        <f t="shared" si="31"/>
        <v>63.75</v>
      </c>
      <c r="M53" s="15">
        <f t="shared" si="9"/>
        <v>59</v>
      </c>
      <c r="N53" s="13">
        <f t="shared" ref="N53:O53" si="126">M53*0.8</f>
        <v>47.2</v>
      </c>
      <c r="O53" s="13">
        <f t="shared" si="126"/>
        <v>37.76</v>
      </c>
      <c r="P53" s="6">
        <f t="shared" si="11"/>
        <v>50</v>
      </c>
      <c r="Q53" s="13">
        <f t="shared" si="12"/>
        <v>50</v>
      </c>
      <c r="R53" s="13">
        <f t="shared" si="13"/>
        <v>50</v>
      </c>
      <c r="S53" s="13">
        <f t="shared" si="14"/>
        <v>50</v>
      </c>
      <c r="T53" s="13">
        <f t="shared" si="15"/>
        <v>52</v>
      </c>
      <c r="U53" s="13">
        <f t="shared" si="16"/>
        <v>59.8</v>
      </c>
      <c r="V53" s="16">
        <f t="shared" si="17"/>
        <v>104</v>
      </c>
      <c r="X53" s="7">
        <f t="shared" si="18"/>
        <v>101</v>
      </c>
      <c r="Y53" s="17" t="s">
        <v>39</v>
      </c>
      <c r="Z53" s="17" t="s">
        <v>39</v>
      </c>
      <c r="AA53" s="15">
        <f t="shared" si="19"/>
        <v>122.5</v>
      </c>
      <c r="AB53" s="15">
        <f t="shared" si="20"/>
        <v>12.5</v>
      </c>
      <c r="AC53" s="18">
        <f t="shared" si="21"/>
        <v>3</v>
      </c>
      <c r="AD53" s="13">
        <f t="shared" si="22"/>
        <v>1.2</v>
      </c>
      <c r="AE53" s="13">
        <f t="shared" si="23"/>
        <v>1.714285714</v>
      </c>
      <c r="AF53" s="13">
        <f t="shared" si="24"/>
        <v>52</v>
      </c>
      <c r="AG53" s="13">
        <f t="shared" si="25"/>
        <v>29.71428571</v>
      </c>
      <c r="AH53" s="13">
        <f t="shared" si="26"/>
        <v>20.8</v>
      </c>
      <c r="AI53" s="6">
        <v>1.0</v>
      </c>
      <c r="AJ53" s="6">
        <v>1.0</v>
      </c>
      <c r="AK53" s="13">
        <f t="shared" si="27"/>
        <v>1.525</v>
      </c>
      <c r="AL53" s="16">
        <f t="shared" si="28"/>
        <v>1.525</v>
      </c>
    </row>
    <row r="54">
      <c r="A54" s="19"/>
      <c r="B54" s="5">
        <v>50.0</v>
      </c>
      <c r="C54" s="6">
        <f t="shared" si="3"/>
        <v>8.786135043</v>
      </c>
      <c r="D54" s="6">
        <f t="shared" si="4"/>
        <v>27.26527804</v>
      </c>
      <c r="E54" s="13">
        <f t="shared" ref="E54:F54" si="127">D54*1.25</f>
        <v>34.08159756</v>
      </c>
      <c r="F54" s="13">
        <f t="shared" si="127"/>
        <v>42.60199694</v>
      </c>
      <c r="G54" s="13">
        <f t="shared" si="6"/>
        <v>63.90299542</v>
      </c>
      <c r="H54" s="14">
        <f t="shared" si="7"/>
        <v>12</v>
      </c>
      <c r="I54" s="6"/>
      <c r="J54" s="6">
        <f t="shared" si="8"/>
        <v>12</v>
      </c>
      <c r="K54" s="13">
        <f t="shared" si="30"/>
        <v>58.5</v>
      </c>
      <c r="L54" s="13">
        <f t="shared" si="31"/>
        <v>65</v>
      </c>
      <c r="M54" s="15">
        <f t="shared" si="9"/>
        <v>60</v>
      </c>
      <c r="N54" s="13">
        <f t="shared" ref="N54:O54" si="128">M54*0.8</f>
        <v>48</v>
      </c>
      <c r="O54" s="13">
        <f t="shared" si="128"/>
        <v>38.4</v>
      </c>
      <c r="P54" s="6">
        <f t="shared" si="11"/>
        <v>51</v>
      </c>
      <c r="Q54" s="13">
        <f t="shared" si="12"/>
        <v>51</v>
      </c>
      <c r="R54" s="13">
        <f t="shared" si="13"/>
        <v>51</v>
      </c>
      <c r="S54" s="13">
        <f t="shared" si="14"/>
        <v>51</v>
      </c>
      <c r="T54" s="13">
        <f t="shared" si="15"/>
        <v>53</v>
      </c>
      <c r="U54" s="13">
        <f t="shared" si="16"/>
        <v>60.95</v>
      </c>
      <c r="V54" s="16">
        <f t="shared" si="17"/>
        <v>106</v>
      </c>
      <c r="X54" s="7">
        <f t="shared" si="18"/>
        <v>100</v>
      </c>
      <c r="Y54" s="17" t="s">
        <v>39</v>
      </c>
      <c r="Z54" s="17" t="s">
        <v>39</v>
      </c>
      <c r="AA54" s="15">
        <f t="shared" si="19"/>
        <v>125</v>
      </c>
      <c r="AB54" s="15">
        <f t="shared" si="20"/>
        <v>12.75</v>
      </c>
      <c r="AC54" s="18">
        <f t="shared" si="21"/>
        <v>2</v>
      </c>
      <c r="AD54" s="13">
        <f t="shared" si="22"/>
        <v>0.8</v>
      </c>
      <c r="AE54" s="13">
        <f t="shared" si="23"/>
        <v>1.142857143</v>
      </c>
      <c r="AF54" s="13">
        <f t="shared" si="24"/>
        <v>51</v>
      </c>
      <c r="AG54" s="13">
        <f t="shared" si="25"/>
        <v>29.14285714</v>
      </c>
      <c r="AH54" s="13">
        <f t="shared" si="26"/>
        <v>20.4</v>
      </c>
      <c r="AI54" s="6">
        <v>1.0</v>
      </c>
      <c r="AJ54" s="6">
        <v>1.0</v>
      </c>
      <c r="AK54" s="13">
        <f t="shared" si="27"/>
        <v>1.5</v>
      </c>
      <c r="AL54" s="16">
        <f t="shared" si="28"/>
        <v>1.5</v>
      </c>
    </row>
    <row r="55">
      <c r="A55" s="19"/>
      <c r="B55" s="5">
        <v>51.0</v>
      </c>
      <c r="C55" s="6">
        <f t="shared" si="3"/>
        <v>8.951857744</v>
      </c>
      <c r="D55" s="6">
        <f t="shared" si="4"/>
        <v>27.7905836</v>
      </c>
      <c r="E55" s="13">
        <f t="shared" ref="E55:F55" si="129">D55*1.25</f>
        <v>34.73822951</v>
      </c>
      <c r="F55" s="13">
        <f t="shared" si="129"/>
        <v>43.42278688</v>
      </c>
      <c r="G55" s="13">
        <f t="shared" si="6"/>
        <v>65.13418032</v>
      </c>
      <c r="H55" s="14">
        <f t="shared" si="7"/>
        <v>12.2</v>
      </c>
      <c r="I55" s="6"/>
      <c r="J55" s="6">
        <f t="shared" si="8"/>
        <v>12.2</v>
      </c>
      <c r="K55" s="13">
        <f t="shared" si="30"/>
        <v>59.65</v>
      </c>
      <c r="L55" s="13">
        <f t="shared" si="31"/>
        <v>66.25</v>
      </c>
      <c r="M55" s="15">
        <f t="shared" si="9"/>
        <v>61</v>
      </c>
      <c r="N55" s="13">
        <f t="shared" ref="N55:O55" si="130">M55*0.8</f>
        <v>48.8</v>
      </c>
      <c r="O55" s="13">
        <f t="shared" si="130"/>
        <v>39.04</v>
      </c>
      <c r="P55" s="6">
        <f t="shared" si="11"/>
        <v>52</v>
      </c>
      <c r="Q55" s="13">
        <f t="shared" si="12"/>
        <v>52</v>
      </c>
      <c r="R55" s="13">
        <f t="shared" si="13"/>
        <v>52</v>
      </c>
      <c r="S55" s="13">
        <f t="shared" si="14"/>
        <v>52</v>
      </c>
      <c r="T55" s="13">
        <f t="shared" si="15"/>
        <v>54</v>
      </c>
      <c r="U55" s="13">
        <f t="shared" si="16"/>
        <v>62.1</v>
      </c>
      <c r="V55" s="16">
        <f t="shared" si="17"/>
        <v>108</v>
      </c>
      <c r="X55" s="7">
        <f t="shared" si="18"/>
        <v>99</v>
      </c>
      <c r="Y55" s="17" t="s">
        <v>39</v>
      </c>
      <c r="Z55" s="17" t="s">
        <v>39</v>
      </c>
      <c r="AA55" s="15">
        <f t="shared" si="19"/>
        <v>127.5</v>
      </c>
      <c r="AB55" s="15">
        <f t="shared" si="20"/>
        <v>13</v>
      </c>
      <c r="AC55" s="18">
        <f t="shared" si="21"/>
        <v>2</v>
      </c>
      <c r="AD55" s="13">
        <f t="shared" si="22"/>
        <v>0.8</v>
      </c>
      <c r="AE55" s="13">
        <f t="shared" si="23"/>
        <v>1.142857143</v>
      </c>
      <c r="AF55" s="13">
        <f t="shared" si="24"/>
        <v>50</v>
      </c>
      <c r="AG55" s="13">
        <f t="shared" si="25"/>
        <v>28.57142857</v>
      </c>
      <c r="AH55" s="13">
        <f t="shared" si="26"/>
        <v>20</v>
      </c>
      <c r="AI55" s="6">
        <v>1.0</v>
      </c>
      <c r="AJ55" s="6">
        <v>1.0</v>
      </c>
      <c r="AK55" s="13">
        <f t="shared" si="27"/>
        <v>1.475</v>
      </c>
      <c r="AL55" s="16">
        <f t="shared" si="28"/>
        <v>1.475</v>
      </c>
    </row>
    <row r="56">
      <c r="A56" s="19"/>
      <c r="B56" s="5">
        <v>52.0</v>
      </c>
      <c r="C56" s="6">
        <f t="shared" si="3"/>
        <v>9.117580445</v>
      </c>
      <c r="D56" s="6">
        <f t="shared" si="4"/>
        <v>28.31588917</v>
      </c>
      <c r="E56" s="13">
        <f t="shared" ref="E56:F56" si="131">D56*1.25</f>
        <v>35.39486146</v>
      </c>
      <c r="F56" s="13">
        <f t="shared" si="131"/>
        <v>44.24357682</v>
      </c>
      <c r="G56" s="13">
        <f t="shared" si="6"/>
        <v>66.36536523</v>
      </c>
      <c r="H56" s="14">
        <f t="shared" si="7"/>
        <v>12.4</v>
      </c>
      <c r="I56" s="6"/>
      <c r="J56" s="6">
        <f t="shared" si="8"/>
        <v>12.4</v>
      </c>
      <c r="K56" s="13">
        <f t="shared" si="30"/>
        <v>60.8</v>
      </c>
      <c r="L56" s="13">
        <f t="shared" si="31"/>
        <v>67.5</v>
      </c>
      <c r="M56" s="15">
        <f t="shared" si="9"/>
        <v>62</v>
      </c>
      <c r="N56" s="13">
        <f t="shared" ref="N56:O56" si="132">M56*0.8</f>
        <v>49.6</v>
      </c>
      <c r="O56" s="13">
        <f t="shared" si="132"/>
        <v>39.68</v>
      </c>
      <c r="P56" s="6">
        <f t="shared" si="11"/>
        <v>53</v>
      </c>
      <c r="Q56" s="13">
        <f t="shared" si="12"/>
        <v>53</v>
      </c>
      <c r="R56" s="13">
        <f t="shared" si="13"/>
        <v>53</v>
      </c>
      <c r="S56" s="13">
        <f t="shared" si="14"/>
        <v>53</v>
      </c>
      <c r="T56" s="13">
        <f t="shared" si="15"/>
        <v>55</v>
      </c>
      <c r="U56" s="13">
        <f t="shared" si="16"/>
        <v>63.25</v>
      </c>
      <c r="V56" s="16">
        <f t="shared" si="17"/>
        <v>110</v>
      </c>
      <c r="X56" s="7">
        <f t="shared" si="18"/>
        <v>98</v>
      </c>
      <c r="Y56" s="17" t="s">
        <v>39</v>
      </c>
      <c r="Z56" s="17" t="s">
        <v>39</v>
      </c>
      <c r="AA56" s="15">
        <f t="shared" si="19"/>
        <v>130</v>
      </c>
      <c r="AB56" s="15">
        <f t="shared" si="20"/>
        <v>13.25</v>
      </c>
      <c r="AC56" s="18">
        <f t="shared" si="21"/>
        <v>2</v>
      </c>
      <c r="AD56" s="13">
        <f t="shared" si="22"/>
        <v>0.8</v>
      </c>
      <c r="AE56" s="13">
        <f t="shared" si="23"/>
        <v>1.142857143</v>
      </c>
      <c r="AF56" s="13">
        <f t="shared" si="24"/>
        <v>49</v>
      </c>
      <c r="AG56" s="13">
        <f t="shared" si="25"/>
        <v>28</v>
      </c>
      <c r="AH56" s="13">
        <f t="shared" si="26"/>
        <v>19.6</v>
      </c>
      <c r="AI56" s="6">
        <v>1.0</v>
      </c>
      <c r="AJ56" s="6">
        <v>1.0</v>
      </c>
      <c r="AK56" s="13">
        <f t="shared" si="27"/>
        <v>1.45</v>
      </c>
      <c r="AL56" s="16">
        <f t="shared" si="28"/>
        <v>1.45</v>
      </c>
    </row>
    <row r="57">
      <c r="A57" s="19"/>
      <c r="B57" s="5">
        <v>53.0</v>
      </c>
      <c r="C57" s="6">
        <f t="shared" si="3"/>
        <v>9.283303146</v>
      </c>
      <c r="D57" s="6">
        <f t="shared" si="4"/>
        <v>28.84119473</v>
      </c>
      <c r="E57" s="13">
        <f t="shared" ref="E57:F57" si="133">D57*1.25</f>
        <v>36.05149341</v>
      </c>
      <c r="F57" s="13">
        <f t="shared" si="133"/>
        <v>45.06436676</v>
      </c>
      <c r="G57" s="13">
        <f t="shared" si="6"/>
        <v>67.59655014</v>
      </c>
      <c r="H57" s="14">
        <f t="shared" si="7"/>
        <v>12.6</v>
      </c>
      <c r="I57" s="6"/>
      <c r="J57" s="6">
        <f t="shared" si="8"/>
        <v>12.6</v>
      </c>
      <c r="K57" s="13">
        <f t="shared" si="30"/>
        <v>61.95</v>
      </c>
      <c r="L57" s="13">
        <f t="shared" si="31"/>
        <v>68.75</v>
      </c>
      <c r="M57" s="15">
        <f t="shared" si="9"/>
        <v>63</v>
      </c>
      <c r="N57" s="13">
        <f t="shared" ref="N57:O57" si="134">M57*0.8</f>
        <v>50.4</v>
      </c>
      <c r="O57" s="13">
        <f t="shared" si="134"/>
        <v>40.32</v>
      </c>
      <c r="P57" s="6">
        <f t="shared" si="11"/>
        <v>54</v>
      </c>
      <c r="Q57" s="13">
        <f t="shared" si="12"/>
        <v>54</v>
      </c>
      <c r="R57" s="13">
        <f t="shared" si="13"/>
        <v>54</v>
      </c>
      <c r="S57" s="13">
        <f t="shared" si="14"/>
        <v>54</v>
      </c>
      <c r="T57" s="13">
        <f t="shared" si="15"/>
        <v>56</v>
      </c>
      <c r="U57" s="13">
        <f t="shared" si="16"/>
        <v>64.4</v>
      </c>
      <c r="V57" s="16">
        <f t="shared" si="17"/>
        <v>112</v>
      </c>
      <c r="X57" s="7">
        <f t="shared" si="18"/>
        <v>97</v>
      </c>
      <c r="Y57" s="17" t="s">
        <v>39</v>
      </c>
      <c r="Z57" s="17" t="s">
        <v>39</v>
      </c>
      <c r="AA57" s="15">
        <f t="shared" si="19"/>
        <v>132.5</v>
      </c>
      <c r="AB57" s="15">
        <f t="shared" si="20"/>
        <v>13.5</v>
      </c>
      <c r="AC57" s="18">
        <f t="shared" si="21"/>
        <v>2</v>
      </c>
      <c r="AD57" s="13">
        <f t="shared" si="22"/>
        <v>0.8</v>
      </c>
      <c r="AE57" s="13">
        <f t="shared" si="23"/>
        <v>1.142857143</v>
      </c>
      <c r="AF57" s="13">
        <f t="shared" si="24"/>
        <v>48</v>
      </c>
      <c r="AG57" s="13">
        <f t="shared" si="25"/>
        <v>27.42857143</v>
      </c>
      <c r="AH57" s="13">
        <f t="shared" si="26"/>
        <v>19.2</v>
      </c>
      <c r="AI57" s="6">
        <v>1.0</v>
      </c>
      <c r="AJ57" s="6">
        <v>1.0</v>
      </c>
      <c r="AK57" s="13">
        <f t="shared" si="27"/>
        <v>1.425</v>
      </c>
      <c r="AL57" s="16">
        <f t="shared" si="28"/>
        <v>1.425</v>
      </c>
    </row>
    <row r="58">
      <c r="A58" s="19"/>
      <c r="B58" s="5">
        <v>54.0</v>
      </c>
      <c r="C58" s="6">
        <f t="shared" si="3"/>
        <v>9.449025847</v>
      </c>
      <c r="D58" s="6">
        <f t="shared" si="4"/>
        <v>29.36650029</v>
      </c>
      <c r="E58" s="13">
        <f t="shared" ref="E58:F58" si="135">D58*1.25</f>
        <v>36.70812536</v>
      </c>
      <c r="F58" s="13">
        <f t="shared" si="135"/>
        <v>45.8851567</v>
      </c>
      <c r="G58" s="13">
        <f t="shared" si="6"/>
        <v>68.82773505</v>
      </c>
      <c r="H58" s="14">
        <f t="shared" si="7"/>
        <v>12.8</v>
      </c>
      <c r="I58" s="6"/>
      <c r="J58" s="6">
        <f t="shared" si="8"/>
        <v>12.8</v>
      </c>
      <c r="K58" s="13">
        <f t="shared" si="30"/>
        <v>63.1</v>
      </c>
      <c r="L58" s="13">
        <f t="shared" si="31"/>
        <v>70</v>
      </c>
      <c r="M58" s="15">
        <f t="shared" si="9"/>
        <v>64</v>
      </c>
      <c r="N58" s="13">
        <f t="shared" ref="N58:O58" si="136">M58*0.8</f>
        <v>51.2</v>
      </c>
      <c r="O58" s="13">
        <f t="shared" si="136"/>
        <v>40.96</v>
      </c>
      <c r="P58" s="6">
        <f t="shared" si="11"/>
        <v>55</v>
      </c>
      <c r="Q58" s="13">
        <f t="shared" si="12"/>
        <v>55</v>
      </c>
      <c r="R58" s="13">
        <f t="shared" si="13"/>
        <v>55</v>
      </c>
      <c r="S58" s="13">
        <f t="shared" si="14"/>
        <v>55</v>
      </c>
      <c r="T58" s="13">
        <f t="shared" si="15"/>
        <v>57</v>
      </c>
      <c r="U58" s="13">
        <f t="shared" si="16"/>
        <v>65.55</v>
      </c>
      <c r="V58" s="16">
        <f t="shared" si="17"/>
        <v>114</v>
      </c>
      <c r="X58" s="7">
        <f t="shared" si="18"/>
        <v>96</v>
      </c>
      <c r="Y58" s="17" t="s">
        <v>39</v>
      </c>
      <c r="Z58" s="17" t="s">
        <v>39</v>
      </c>
      <c r="AA58" s="15">
        <f t="shared" si="19"/>
        <v>135</v>
      </c>
      <c r="AB58" s="15">
        <f t="shared" si="20"/>
        <v>13.75</v>
      </c>
      <c r="AC58" s="18">
        <f t="shared" si="21"/>
        <v>2</v>
      </c>
      <c r="AD58" s="13">
        <f t="shared" si="22"/>
        <v>0.8</v>
      </c>
      <c r="AE58" s="13">
        <f t="shared" si="23"/>
        <v>1.142857143</v>
      </c>
      <c r="AF58" s="13">
        <f t="shared" si="24"/>
        <v>47</v>
      </c>
      <c r="AG58" s="13">
        <f t="shared" si="25"/>
        <v>26.85714286</v>
      </c>
      <c r="AH58" s="13">
        <f t="shared" si="26"/>
        <v>18.8</v>
      </c>
      <c r="AI58" s="6">
        <v>1.0</v>
      </c>
      <c r="AJ58" s="6">
        <v>1.0</v>
      </c>
      <c r="AK58" s="13">
        <f t="shared" si="27"/>
        <v>1.4</v>
      </c>
      <c r="AL58" s="16">
        <f t="shared" si="28"/>
        <v>1.4</v>
      </c>
    </row>
    <row r="59">
      <c r="A59" s="19"/>
      <c r="B59" s="5">
        <v>55.0</v>
      </c>
      <c r="C59" s="6">
        <f t="shared" si="3"/>
        <v>9.614748548</v>
      </c>
      <c r="D59" s="6">
        <f t="shared" si="4"/>
        <v>29.89180585</v>
      </c>
      <c r="E59" s="13">
        <f t="shared" ref="E59:F59" si="137">D59*1.25</f>
        <v>37.36475731</v>
      </c>
      <c r="F59" s="13">
        <f t="shared" si="137"/>
        <v>46.70594664</v>
      </c>
      <c r="G59" s="13">
        <f t="shared" si="6"/>
        <v>70.05891996</v>
      </c>
      <c r="H59" s="14">
        <f t="shared" si="7"/>
        <v>13</v>
      </c>
      <c r="I59" s="6"/>
      <c r="J59" s="6">
        <f t="shared" si="8"/>
        <v>13</v>
      </c>
      <c r="K59" s="13">
        <f t="shared" si="30"/>
        <v>64.25</v>
      </c>
      <c r="L59" s="13">
        <f t="shared" si="31"/>
        <v>71.25</v>
      </c>
      <c r="M59" s="15">
        <f t="shared" si="9"/>
        <v>65</v>
      </c>
      <c r="N59" s="13">
        <f t="shared" ref="N59:O59" si="138">M59*0.8</f>
        <v>52</v>
      </c>
      <c r="O59" s="13">
        <f t="shared" si="138"/>
        <v>41.6</v>
      </c>
      <c r="P59" s="6">
        <f t="shared" si="11"/>
        <v>56</v>
      </c>
      <c r="Q59" s="13">
        <f t="shared" si="12"/>
        <v>56</v>
      </c>
      <c r="R59" s="13">
        <f t="shared" si="13"/>
        <v>56</v>
      </c>
      <c r="S59" s="13">
        <f t="shared" si="14"/>
        <v>56</v>
      </c>
      <c r="T59" s="13">
        <f t="shared" si="15"/>
        <v>58</v>
      </c>
      <c r="U59" s="13">
        <f t="shared" si="16"/>
        <v>66.7</v>
      </c>
      <c r="V59" s="16">
        <f t="shared" si="17"/>
        <v>116</v>
      </c>
      <c r="X59" s="7">
        <f t="shared" si="18"/>
        <v>95</v>
      </c>
      <c r="Y59" s="17" t="s">
        <v>39</v>
      </c>
      <c r="Z59" s="17" t="s">
        <v>39</v>
      </c>
      <c r="AA59" s="15">
        <f t="shared" si="19"/>
        <v>137.5</v>
      </c>
      <c r="AB59" s="15">
        <f t="shared" si="20"/>
        <v>14</v>
      </c>
      <c r="AC59" s="18">
        <f t="shared" si="21"/>
        <v>2</v>
      </c>
      <c r="AD59" s="13">
        <f t="shared" si="22"/>
        <v>0.8</v>
      </c>
      <c r="AE59" s="13">
        <f t="shared" si="23"/>
        <v>1.142857143</v>
      </c>
      <c r="AF59" s="13">
        <f t="shared" si="24"/>
        <v>46</v>
      </c>
      <c r="AG59" s="13">
        <f t="shared" si="25"/>
        <v>26.28571429</v>
      </c>
      <c r="AH59" s="13">
        <f t="shared" si="26"/>
        <v>18.4</v>
      </c>
      <c r="AI59" s="6">
        <v>1.0</v>
      </c>
      <c r="AJ59" s="6">
        <v>1.0</v>
      </c>
      <c r="AK59" s="13">
        <f t="shared" si="27"/>
        <v>1.375</v>
      </c>
      <c r="AL59" s="16">
        <f t="shared" si="28"/>
        <v>1.375</v>
      </c>
    </row>
    <row r="60">
      <c r="A60" s="19"/>
      <c r="B60" s="5">
        <v>56.0</v>
      </c>
      <c r="C60" s="6">
        <f t="shared" si="3"/>
        <v>9.780471249</v>
      </c>
      <c r="D60" s="6">
        <f t="shared" si="4"/>
        <v>30.41711141</v>
      </c>
      <c r="E60" s="13">
        <f t="shared" ref="E60:F60" si="139">D60*1.25</f>
        <v>38.02138926</v>
      </c>
      <c r="F60" s="13">
        <f t="shared" si="139"/>
        <v>47.52673658</v>
      </c>
      <c r="G60" s="13">
        <f t="shared" si="6"/>
        <v>71.29010487</v>
      </c>
      <c r="H60" s="14">
        <f t="shared" si="7"/>
        <v>13.2</v>
      </c>
      <c r="I60" s="6"/>
      <c r="J60" s="6">
        <f t="shared" si="8"/>
        <v>13.2</v>
      </c>
      <c r="K60" s="13">
        <f t="shared" si="30"/>
        <v>65.4</v>
      </c>
      <c r="L60" s="13">
        <f t="shared" si="31"/>
        <v>72.5</v>
      </c>
      <c r="M60" s="15">
        <f t="shared" si="9"/>
        <v>66</v>
      </c>
      <c r="N60" s="13">
        <f t="shared" ref="N60:O60" si="140">M60*0.8</f>
        <v>52.8</v>
      </c>
      <c r="O60" s="13">
        <f t="shared" si="140"/>
        <v>42.24</v>
      </c>
      <c r="P60" s="6">
        <f t="shared" si="11"/>
        <v>57</v>
      </c>
      <c r="Q60" s="13">
        <f t="shared" si="12"/>
        <v>57</v>
      </c>
      <c r="R60" s="13">
        <f t="shared" si="13"/>
        <v>57</v>
      </c>
      <c r="S60" s="13">
        <f t="shared" si="14"/>
        <v>57</v>
      </c>
      <c r="T60" s="13">
        <f t="shared" si="15"/>
        <v>59</v>
      </c>
      <c r="U60" s="13">
        <f t="shared" si="16"/>
        <v>67.85</v>
      </c>
      <c r="V60" s="16">
        <f t="shared" si="17"/>
        <v>118</v>
      </c>
      <c r="X60" s="7">
        <f t="shared" si="18"/>
        <v>94</v>
      </c>
      <c r="Y60" s="17" t="s">
        <v>39</v>
      </c>
      <c r="Z60" s="17" t="s">
        <v>39</v>
      </c>
      <c r="AA60" s="15">
        <f t="shared" si="19"/>
        <v>140</v>
      </c>
      <c r="AB60" s="15">
        <f t="shared" si="20"/>
        <v>14.25</v>
      </c>
      <c r="AC60" s="18">
        <f t="shared" si="21"/>
        <v>2</v>
      </c>
      <c r="AD60" s="13">
        <f t="shared" si="22"/>
        <v>0.8</v>
      </c>
      <c r="AE60" s="13">
        <f t="shared" si="23"/>
        <v>1.142857143</v>
      </c>
      <c r="AF60" s="13">
        <f t="shared" si="24"/>
        <v>45</v>
      </c>
      <c r="AG60" s="13">
        <f t="shared" si="25"/>
        <v>25.71428571</v>
      </c>
      <c r="AH60" s="13">
        <f t="shared" si="26"/>
        <v>18</v>
      </c>
      <c r="AI60" s="6">
        <v>1.0</v>
      </c>
      <c r="AJ60" s="6">
        <v>1.0</v>
      </c>
      <c r="AK60" s="13">
        <f t="shared" si="27"/>
        <v>1.35</v>
      </c>
      <c r="AL60" s="16">
        <f t="shared" si="28"/>
        <v>1.35</v>
      </c>
    </row>
    <row r="61">
      <c r="A61" s="19"/>
      <c r="B61" s="5">
        <v>57.0</v>
      </c>
      <c r="C61" s="6">
        <f t="shared" si="3"/>
        <v>9.946193949</v>
      </c>
      <c r="D61" s="6">
        <f t="shared" si="4"/>
        <v>30.94241697</v>
      </c>
      <c r="E61" s="13">
        <f t="shared" ref="E61:F61" si="141">D61*1.25</f>
        <v>38.67802121</v>
      </c>
      <c r="F61" s="13">
        <f t="shared" si="141"/>
        <v>48.34752652</v>
      </c>
      <c r="G61" s="13">
        <f t="shared" si="6"/>
        <v>72.52128977</v>
      </c>
      <c r="H61" s="14">
        <f t="shared" si="7"/>
        <v>13.4</v>
      </c>
      <c r="I61" s="6"/>
      <c r="J61" s="6">
        <f t="shared" si="8"/>
        <v>13.4</v>
      </c>
      <c r="K61" s="13">
        <f t="shared" si="30"/>
        <v>66.55</v>
      </c>
      <c r="L61" s="13">
        <f t="shared" si="31"/>
        <v>73.75</v>
      </c>
      <c r="M61" s="15">
        <f t="shared" si="9"/>
        <v>67</v>
      </c>
      <c r="N61" s="13">
        <f t="shared" ref="N61:O61" si="142">M61*0.8</f>
        <v>53.6</v>
      </c>
      <c r="O61" s="13">
        <f t="shared" si="142"/>
        <v>42.88</v>
      </c>
      <c r="P61" s="6">
        <f t="shared" si="11"/>
        <v>58</v>
      </c>
      <c r="Q61" s="13">
        <f t="shared" si="12"/>
        <v>58</v>
      </c>
      <c r="R61" s="13">
        <f t="shared" si="13"/>
        <v>58</v>
      </c>
      <c r="S61" s="13">
        <f t="shared" si="14"/>
        <v>58</v>
      </c>
      <c r="T61" s="13">
        <f t="shared" si="15"/>
        <v>60</v>
      </c>
      <c r="U61" s="13">
        <f t="shared" si="16"/>
        <v>69</v>
      </c>
      <c r="V61" s="16">
        <f t="shared" si="17"/>
        <v>120</v>
      </c>
      <c r="X61" s="7">
        <f t="shared" si="18"/>
        <v>93</v>
      </c>
      <c r="Y61" s="17" t="s">
        <v>39</v>
      </c>
      <c r="Z61" s="17" t="s">
        <v>39</v>
      </c>
      <c r="AA61" s="15">
        <f t="shared" si="19"/>
        <v>142.5</v>
      </c>
      <c r="AB61" s="15">
        <f t="shared" si="20"/>
        <v>14.5</v>
      </c>
      <c r="AC61" s="18">
        <f t="shared" si="21"/>
        <v>2</v>
      </c>
      <c r="AD61" s="13">
        <f t="shared" si="22"/>
        <v>0.8</v>
      </c>
      <c r="AE61" s="13">
        <f t="shared" si="23"/>
        <v>1.142857143</v>
      </c>
      <c r="AF61" s="13">
        <f t="shared" si="24"/>
        <v>44</v>
      </c>
      <c r="AG61" s="13">
        <f t="shared" si="25"/>
        <v>25.14285714</v>
      </c>
      <c r="AH61" s="13">
        <f t="shared" si="26"/>
        <v>17.6</v>
      </c>
      <c r="AI61" s="6">
        <v>1.0</v>
      </c>
      <c r="AJ61" s="6">
        <v>1.0</v>
      </c>
      <c r="AK61" s="13">
        <f t="shared" si="27"/>
        <v>1.325</v>
      </c>
      <c r="AL61" s="16">
        <f t="shared" si="28"/>
        <v>1.325</v>
      </c>
    </row>
    <row r="62">
      <c r="A62" s="19"/>
      <c r="B62" s="5">
        <v>58.0</v>
      </c>
      <c r="C62" s="6">
        <f t="shared" si="3"/>
        <v>10.11191665</v>
      </c>
      <c r="D62" s="6">
        <f t="shared" si="4"/>
        <v>31.46772253</v>
      </c>
      <c r="E62" s="13">
        <f t="shared" ref="E62:F62" si="143">D62*1.25</f>
        <v>39.33465316</v>
      </c>
      <c r="F62" s="13">
        <f t="shared" si="143"/>
        <v>49.16831645</v>
      </c>
      <c r="G62" s="13">
        <f t="shared" si="6"/>
        <v>73.75247468</v>
      </c>
      <c r="H62" s="14">
        <f t="shared" si="7"/>
        <v>13.6</v>
      </c>
      <c r="I62" s="6"/>
      <c r="J62" s="6">
        <f t="shared" si="8"/>
        <v>13.6</v>
      </c>
      <c r="K62" s="13">
        <f t="shared" si="30"/>
        <v>67.7</v>
      </c>
      <c r="L62" s="13">
        <f t="shared" si="31"/>
        <v>75</v>
      </c>
      <c r="M62" s="15">
        <f t="shared" si="9"/>
        <v>68</v>
      </c>
      <c r="N62" s="13">
        <f t="shared" ref="N62:O62" si="144">M62*0.8</f>
        <v>54.4</v>
      </c>
      <c r="O62" s="13">
        <f t="shared" si="144"/>
        <v>43.52</v>
      </c>
      <c r="P62" s="6">
        <f t="shared" si="11"/>
        <v>59</v>
      </c>
      <c r="Q62" s="13">
        <f t="shared" si="12"/>
        <v>59</v>
      </c>
      <c r="R62" s="13">
        <f t="shared" si="13"/>
        <v>59</v>
      </c>
      <c r="S62" s="13">
        <f t="shared" si="14"/>
        <v>59</v>
      </c>
      <c r="T62" s="13">
        <f t="shared" si="15"/>
        <v>61</v>
      </c>
      <c r="U62" s="13">
        <f t="shared" si="16"/>
        <v>70.15</v>
      </c>
      <c r="V62" s="16">
        <f t="shared" si="17"/>
        <v>122</v>
      </c>
      <c r="X62" s="7">
        <f t="shared" si="18"/>
        <v>92</v>
      </c>
      <c r="Y62" s="17" t="s">
        <v>39</v>
      </c>
      <c r="Z62" s="17" t="s">
        <v>39</v>
      </c>
      <c r="AA62" s="15">
        <f t="shared" si="19"/>
        <v>145</v>
      </c>
      <c r="AB62" s="15">
        <f t="shared" si="20"/>
        <v>14.75</v>
      </c>
      <c r="AC62" s="18">
        <f t="shared" si="21"/>
        <v>2</v>
      </c>
      <c r="AD62" s="13">
        <f t="shared" si="22"/>
        <v>0.8</v>
      </c>
      <c r="AE62" s="13">
        <f t="shared" si="23"/>
        <v>1.142857143</v>
      </c>
      <c r="AF62" s="13">
        <f t="shared" si="24"/>
        <v>43</v>
      </c>
      <c r="AG62" s="13">
        <f t="shared" si="25"/>
        <v>24.57142857</v>
      </c>
      <c r="AH62" s="13">
        <f t="shared" si="26"/>
        <v>17.2</v>
      </c>
      <c r="AI62" s="6">
        <v>1.0</v>
      </c>
      <c r="AJ62" s="6">
        <v>1.0</v>
      </c>
      <c r="AK62" s="13">
        <f t="shared" si="27"/>
        <v>1.3</v>
      </c>
      <c r="AL62" s="16">
        <f t="shared" si="28"/>
        <v>1.3</v>
      </c>
    </row>
    <row r="63">
      <c r="A63" s="19"/>
      <c r="B63" s="5">
        <v>59.0</v>
      </c>
      <c r="C63" s="6">
        <f t="shared" si="3"/>
        <v>10.27763935</v>
      </c>
      <c r="D63" s="6">
        <f t="shared" si="4"/>
        <v>31.99302809</v>
      </c>
      <c r="E63" s="13">
        <f t="shared" ref="E63:F63" si="145">D63*1.25</f>
        <v>39.99128511</v>
      </c>
      <c r="F63" s="13">
        <f t="shared" si="145"/>
        <v>49.98910639</v>
      </c>
      <c r="G63" s="13">
        <f t="shared" si="6"/>
        <v>74.98365959</v>
      </c>
      <c r="H63" s="14">
        <f t="shared" si="7"/>
        <v>13.8</v>
      </c>
      <c r="I63" s="6"/>
      <c r="J63" s="6">
        <f t="shared" si="8"/>
        <v>13.8</v>
      </c>
      <c r="K63" s="13">
        <f t="shared" si="30"/>
        <v>68.85</v>
      </c>
      <c r="L63" s="13">
        <f t="shared" si="31"/>
        <v>76.25</v>
      </c>
      <c r="M63" s="15">
        <f t="shared" si="9"/>
        <v>69</v>
      </c>
      <c r="N63" s="13">
        <f t="shared" ref="N63:O63" si="146">M63*0.8</f>
        <v>55.2</v>
      </c>
      <c r="O63" s="13">
        <f t="shared" si="146"/>
        <v>44.16</v>
      </c>
      <c r="P63" s="6">
        <f t="shared" si="11"/>
        <v>60</v>
      </c>
      <c r="Q63" s="13">
        <f t="shared" si="12"/>
        <v>60</v>
      </c>
      <c r="R63" s="13">
        <f t="shared" si="13"/>
        <v>60</v>
      </c>
      <c r="S63" s="13">
        <f t="shared" si="14"/>
        <v>60</v>
      </c>
      <c r="T63" s="13">
        <f t="shared" si="15"/>
        <v>62</v>
      </c>
      <c r="U63" s="13">
        <f t="shared" si="16"/>
        <v>71.3</v>
      </c>
      <c r="V63" s="16">
        <f t="shared" si="17"/>
        <v>124</v>
      </c>
      <c r="X63" s="7">
        <f t="shared" si="18"/>
        <v>91</v>
      </c>
      <c r="Y63" s="17" t="s">
        <v>39</v>
      </c>
      <c r="Z63" s="17" t="s">
        <v>39</v>
      </c>
      <c r="AA63" s="15">
        <f t="shared" si="19"/>
        <v>147.5</v>
      </c>
      <c r="AB63" s="15">
        <f t="shared" si="20"/>
        <v>15</v>
      </c>
      <c r="AC63" s="18">
        <f t="shared" si="21"/>
        <v>2</v>
      </c>
      <c r="AD63" s="13">
        <f t="shared" si="22"/>
        <v>0.8</v>
      </c>
      <c r="AE63" s="13">
        <f t="shared" si="23"/>
        <v>1.142857143</v>
      </c>
      <c r="AF63" s="13">
        <f t="shared" si="24"/>
        <v>42</v>
      </c>
      <c r="AG63" s="13">
        <f t="shared" si="25"/>
        <v>24</v>
      </c>
      <c r="AH63" s="13">
        <f t="shared" si="26"/>
        <v>16.8</v>
      </c>
      <c r="AI63" s="6">
        <v>1.0</v>
      </c>
      <c r="AJ63" s="6">
        <v>1.0</v>
      </c>
      <c r="AK63" s="13">
        <f t="shared" si="27"/>
        <v>1.275</v>
      </c>
      <c r="AL63" s="16">
        <f t="shared" si="28"/>
        <v>1.275</v>
      </c>
    </row>
    <row r="64">
      <c r="A64" s="19"/>
      <c r="B64" s="5">
        <v>60.0</v>
      </c>
      <c r="C64" s="6">
        <f t="shared" si="3"/>
        <v>10.44336205</v>
      </c>
      <c r="D64" s="6">
        <f t="shared" si="4"/>
        <v>32.51833365</v>
      </c>
      <c r="E64" s="13">
        <f t="shared" ref="E64:F64" si="147">D64*1.25</f>
        <v>40.64791707</v>
      </c>
      <c r="F64" s="13">
        <f t="shared" si="147"/>
        <v>50.80989633</v>
      </c>
      <c r="G64" s="13">
        <f t="shared" si="6"/>
        <v>76.2148445</v>
      </c>
      <c r="H64" s="14">
        <f t="shared" si="7"/>
        <v>14</v>
      </c>
      <c r="I64" s="6"/>
      <c r="J64" s="6">
        <f t="shared" si="8"/>
        <v>14</v>
      </c>
      <c r="K64" s="13">
        <f t="shared" si="30"/>
        <v>70</v>
      </c>
      <c r="L64" s="13">
        <f t="shared" si="31"/>
        <v>77.5</v>
      </c>
      <c r="M64" s="15">
        <f t="shared" si="9"/>
        <v>70</v>
      </c>
      <c r="N64" s="13">
        <f t="shared" ref="N64:O64" si="148">M64*0.8</f>
        <v>56</v>
      </c>
      <c r="O64" s="13">
        <f t="shared" si="148"/>
        <v>44.8</v>
      </c>
      <c r="P64" s="6">
        <f t="shared" si="11"/>
        <v>61</v>
      </c>
      <c r="Q64" s="13">
        <f t="shared" si="12"/>
        <v>61</v>
      </c>
      <c r="R64" s="13">
        <f t="shared" si="13"/>
        <v>61</v>
      </c>
      <c r="S64" s="13">
        <f t="shared" si="14"/>
        <v>61</v>
      </c>
      <c r="T64" s="13">
        <f t="shared" si="15"/>
        <v>63</v>
      </c>
      <c r="U64" s="13">
        <f t="shared" si="16"/>
        <v>72.45</v>
      </c>
      <c r="V64" s="16">
        <f t="shared" si="17"/>
        <v>126</v>
      </c>
      <c r="X64" s="7">
        <f t="shared" si="18"/>
        <v>90</v>
      </c>
      <c r="Y64" s="17" t="s">
        <v>39</v>
      </c>
      <c r="Z64" s="17" t="s">
        <v>39</v>
      </c>
      <c r="AA64" s="15">
        <f t="shared" si="19"/>
        <v>150</v>
      </c>
      <c r="AB64" s="15">
        <f t="shared" si="20"/>
        <v>15.25</v>
      </c>
      <c r="AC64" s="18">
        <f t="shared" si="21"/>
        <v>2</v>
      </c>
      <c r="AD64" s="13">
        <f t="shared" si="22"/>
        <v>0.8</v>
      </c>
      <c r="AE64" s="13">
        <f t="shared" si="23"/>
        <v>1.142857143</v>
      </c>
      <c r="AF64" s="13">
        <f t="shared" si="24"/>
        <v>41</v>
      </c>
      <c r="AG64" s="13">
        <f t="shared" si="25"/>
        <v>23.42857143</v>
      </c>
      <c r="AH64" s="13">
        <f t="shared" si="26"/>
        <v>16.4</v>
      </c>
      <c r="AI64" s="6">
        <v>1.0</v>
      </c>
      <c r="AJ64" s="6">
        <v>1.0</v>
      </c>
      <c r="AK64" s="13">
        <f t="shared" si="27"/>
        <v>1.25</v>
      </c>
      <c r="AL64" s="16">
        <f t="shared" si="28"/>
        <v>1.25</v>
      </c>
    </row>
    <row r="65">
      <c r="A65" s="19"/>
      <c r="B65" s="5">
        <v>61.0</v>
      </c>
      <c r="C65" s="6">
        <f t="shared" si="3"/>
        <v>10.60908475</v>
      </c>
      <c r="D65" s="6">
        <f t="shared" si="4"/>
        <v>33.04363921</v>
      </c>
      <c r="E65" s="13">
        <f t="shared" ref="E65:F65" si="149">D65*1.25</f>
        <v>41.30454902</v>
      </c>
      <c r="F65" s="13">
        <f t="shared" si="149"/>
        <v>51.63068627</v>
      </c>
      <c r="G65" s="13">
        <f t="shared" si="6"/>
        <v>77.44602941</v>
      </c>
      <c r="H65" s="14">
        <f t="shared" si="7"/>
        <v>14.2</v>
      </c>
      <c r="I65" s="6"/>
      <c r="J65" s="6">
        <f t="shared" si="8"/>
        <v>14.2</v>
      </c>
      <c r="K65" s="13">
        <f t="shared" si="30"/>
        <v>71.15</v>
      </c>
      <c r="L65" s="13">
        <f t="shared" si="31"/>
        <v>78.75</v>
      </c>
      <c r="M65" s="15">
        <f t="shared" si="9"/>
        <v>71</v>
      </c>
      <c r="N65" s="13">
        <f t="shared" ref="N65:O65" si="150">M65*0.8</f>
        <v>56.8</v>
      </c>
      <c r="O65" s="13">
        <f t="shared" si="150"/>
        <v>45.44</v>
      </c>
      <c r="P65" s="6">
        <f t="shared" si="11"/>
        <v>62</v>
      </c>
      <c r="Q65" s="13">
        <f t="shared" si="12"/>
        <v>62</v>
      </c>
      <c r="R65" s="13">
        <f t="shared" si="13"/>
        <v>62</v>
      </c>
      <c r="S65" s="13">
        <f t="shared" si="14"/>
        <v>62</v>
      </c>
      <c r="T65" s="13">
        <f t="shared" si="15"/>
        <v>64</v>
      </c>
      <c r="U65" s="13">
        <f t="shared" si="16"/>
        <v>73.6</v>
      </c>
      <c r="V65" s="16">
        <f t="shared" si="17"/>
        <v>128</v>
      </c>
      <c r="X65" s="7">
        <f t="shared" si="18"/>
        <v>89</v>
      </c>
      <c r="Y65" s="17" t="s">
        <v>39</v>
      </c>
      <c r="Z65" s="17" t="s">
        <v>39</v>
      </c>
      <c r="AA65" s="15">
        <f t="shared" si="19"/>
        <v>152.5</v>
      </c>
      <c r="AB65" s="15">
        <f t="shared" si="20"/>
        <v>15.5</v>
      </c>
      <c r="AC65" s="18">
        <f t="shared" si="21"/>
        <v>2</v>
      </c>
      <c r="AD65" s="13">
        <f t="shared" si="22"/>
        <v>0.8</v>
      </c>
      <c r="AE65" s="13">
        <f t="shared" si="23"/>
        <v>1.142857143</v>
      </c>
      <c r="AF65" s="13">
        <f t="shared" si="24"/>
        <v>40</v>
      </c>
      <c r="AG65" s="13">
        <f t="shared" si="25"/>
        <v>22.85714286</v>
      </c>
      <c r="AH65" s="13">
        <f t="shared" si="26"/>
        <v>16</v>
      </c>
      <c r="AI65" s="6">
        <v>1.0</v>
      </c>
      <c r="AJ65" s="6">
        <v>1.0</v>
      </c>
      <c r="AK65" s="13">
        <f t="shared" si="27"/>
        <v>1.225</v>
      </c>
      <c r="AL65" s="16">
        <f t="shared" si="28"/>
        <v>1.225</v>
      </c>
    </row>
    <row r="66">
      <c r="A66" s="19"/>
      <c r="B66" s="5">
        <v>62.0</v>
      </c>
      <c r="C66" s="6">
        <f t="shared" si="3"/>
        <v>10.77480745</v>
      </c>
      <c r="D66" s="6">
        <f t="shared" si="4"/>
        <v>33.56894477</v>
      </c>
      <c r="E66" s="13">
        <f t="shared" ref="E66:F66" si="151">D66*1.25</f>
        <v>41.96118097</v>
      </c>
      <c r="F66" s="13">
        <f t="shared" si="151"/>
        <v>52.45147621</v>
      </c>
      <c r="G66" s="13">
        <f t="shared" si="6"/>
        <v>78.67721432</v>
      </c>
      <c r="H66" s="14">
        <f t="shared" si="7"/>
        <v>14.4</v>
      </c>
      <c r="I66" s="6"/>
      <c r="J66" s="6">
        <f t="shared" si="8"/>
        <v>14.4</v>
      </c>
      <c r="K66" s="13">
        <f t="shared" si="30"/>
        <v>72.3</v>
      </c>
      <c r="L66" s="13">
        <f t="shared" si="31"/>
        <v>80</v>
      </c>
      <c r="M66" s="15">
        <f t="shared" si="9"/>
        <v>72</v>
      </c>
      <c r="N66" s="13">
        <f t="shared" ref="N66:O66" si="152">M66*0.8</f>
        <v>57.6</v>
      </c>
      <c r="O66" s="13">
        <f t="shared" si="152"/>
        <v>46.08</v>
      </c>
      <c r="P66" s="6">
        <f t="shared" si="11"/>
        <v>63</v>
      </c>
      <c r="Q66" s="13">
        <f t="shared" si="12"/>
        <v>63</v>
      </c>
      <c r="R66" s="13">
        <f t="shared" si="13"/>
        <v>63</v>
      </c>
      <c r="S66" s="13">
        <f t="shared" si="14"/>
        <v>63</v>
      </c>
      <c r="T66" s="13">
        <f t="shared" si="15"/>
        <v>65</v>
      </c>
      <c r="U66" s="13">
        <f t="shared" si="16"/>
        <v>74.75</v>
      </c>
      <c r="V66" s="16">
        <f t="shared" si="17"/>
        <v>130</v>
      </c>
      <c r="X66" s="7">
        <f t="shared" si="18"/>
        <v>88</v>
      </c>
      <c r="Y66" s="17" t="s">
        <v>39</v>
      </c>
      <c r="Z66" s="17" t="s">
        <v>39</v>
      </c>
      <c r="AA66" s="15">
        <f t="shared" si="19"/>
        <v>155</v>
      </c>
      <c r="AB66" s="15">
        <f t="shared" si="20"/>
        <v>15.75</v>
      </c>
      <c r="AC66" s="18">
        <f t="shared" si="21"/>
        <v>2</v>
      </c>
      <c r="AD66" s="13">
        <f t="shared" si="22"/>
        <v>0.8</v>
      </c>
      <c r="AE66" s="13">
        <f t="shared" si="23"/>
        <v>1.142857143</v>
      </c>
      <c r="AF66" s="13">
        <f t="shared" si="24"/>
        <v>39</v>
      </c>
      <c r="AG66" s="13">
        <f t="shared" si="25"/>
        <v>22.28571429</v>
      </c>
      <c r="AH66" s="13">
        <f t="shared" si="26"/>
        <v>15.6</v>
      </c>
      <c r="AI66" s="6">
        <v>1.0</v>
      </c>
      <c r="AJ66" s="6">
        <v>1.0</v>
      </c>
      <c r="AK66" s="13">
        <f t="shared" si="27"/>
        <v>1.2</v>
      </c>
      <c r="AL66" s="16">
        <f t="shared" si="28"/>
        <v>1.2</v>
      </c>
    </row>
    <row r="67">
      <c r="A67" s="19"/>
      <c r="B67" s="5">
        <v>63.0</v>
      </c>
      <c r="C67" s="6">
        <f t="shared" si="3"/>
        <v>10.94053015</v>
      </c>
      <c r="D67" s="6">
        <f t="shared" si="4"/>
        <v>34.09425034</v>
      </c>
      <c r="E67" s="13">
        <f t="shared" ref="E67:F67" si="153">D67*1.25</f>
        <v>42.61781292</v>
      </c>
      <c r="F67" s="13">
        <f t="shared" si="153"/>
        <v>53.27226615</v>
      </c>
      <c r="G67" s="13">
        <f t="shared" si="6"/>
        <v>79.90839922</v>
      </c>
      <c r="H67" s="14">
        <f t="shared" si="7"/>
        <v>14.6</v>
      </c>
      <c r="I67" s="6"/>
      <c r="J67" s="6">
        <f t="shared" si="8"/>
        <v>14.6</v>
      </c>
      <c r="K67" s="13">
        <f t="shared" si="30"/>
        <v>73.45</v>
      </c>
      <c r="L67" s="13">
        <f t="shared" si="31"/>
        <v>81.25</v>
      </c>
      <c r="M67" s="15">
        <f t="shared" si="9"/>
        <v>73</v>
      </c>
      <c r="N67" s="13">
        <f t="shared" ref="N67:O67" si="154">M67*0.8</f>
        <v>58.4</v>
      </c>
      <c r="O67" s="13">
        <f t="shared" si="154"/>
        <v>46.72</v>
      </c>
      <c r="P67" s="6">
        <f t="shared" si="11"/>
        <v>64</v>
      </c>
      <c r="Q67" s="13">
        <f t="shared" si="12"/>
        <v>64</v>
      </c>
      <c r="R67" s="13">
        <f t="shared" si="13"/>
        <v>64</v>
      </c>
      <c r="S67" s="13">
        <f t="shared" si="14"/>
        <v>64</v>
      </c>
      <c r="T67" s="13">
        <f t="shared" si="15"/>
        <v>66</v>
      </c>
      <c r="U67" s="13">
        <f t="shared" si="16"/>
        <v>75.9</v>
      </c>
      <c r="V67" s="16">
        <f t="shared" si="17"/>
        <v>132</v>
      </c>
      <c r="X67" s="7">
        <f t="shared" si="18"/>
        <v>87</v>
      </c>
      <c r="Y67" s="17" t="s">
        <v>39</v>
      </c>
      <c r="Z67" s="17" t="s">
        <v>39</v>
      </c>
      <c r="AA67" s="15">
        <f t="shared" si="19"/>
        <v>157.5</v>
      </c>
      <c r="AB67" s="15">
        <f t="shared" si="20"/>
        <v>16</v>
      </c>
      <c r="AC67" s="18">
        <f t="shared" si="21"/>
        <v>2</v>
      </c>
      <c r="AD67" s="13">
        <f t="shared" si="22"/>
        <v>0.8</v>
      </c>
      <c r="AE67" s="13">
        <f t="shared" si="23"/>
        <v>1.142857143</v>
      </c>
      <c r="AF67" s="13">
        <f t="shared" si="24"/>
        <v>38</v>
      </c>
      <c r="AG67" s="13">
        <f t="shared" si="25"/>
        <v>21.71428571</v>
      </c>
      <c r="AH67" s="13">
        <f t="shared" si="26"/>
        <v>15.2</v>
      </c>
      <c r="AI67" s="6">
        <v>1.0</v>
      </c>
      <c r="AJ67" s="6">
        <v>1.0</v>
      </c>
      <c r="AK67" s="13">
        <f t="shared" si="27"/>
        <v>1.175</v>
      </c>
      <c r="AL67" s="16">
        <f t="shared" si="28"/>
        <v>1.175</v>
      </c>
    </row>
    <row r="68">
      <c r="A68" s="19"/>
      <c r="B68" s="5">
        <v>64.0</v>
      </c>
      <c r="C68" s="6">
        <f t="shared" si="3"/>
        <v>11.10625286</v>
      </c>
      <c r="D68" s="6">
        <f t="shared" si="4"/>
        <v>34.6195559</v>
      </c>
      <c r="E68" s="13">
        <f t="shared" ref="E68:F68" si="155">D68*1.25</f>
        <v>43.27444487</v>
      </c>
      <c r="F68" s="13">
        <f t="shared" si="155"/>
        <v>54.09305609</v>
      </c>
      <c r="G68" s="13">
        <f t="shared" si="6"/>
        <v>81.13958413</v>
      </c>
      <c r="H68" s="14">
        <f t="shared" si="7"/>
        <v>14.8</v>
      </c>
      <c r="I68" s="6"/>
      <c r="J68" s="6">
        <f t="shared" si="8"/>
        <v>14.8</v>
      </c>
      <c r="K68" s="13">
        <f t="shared" si="30"/>
        <v>74.6</v>
      </c>
      <c r="L68" s="13">
        <f t="shared" si="31"/>
        <v>82.5</v>
      </c>
      <c r="M68" s="15">
        <f t="shared" si="9"/>
        <v>74</v>
      </c>
      <c r="N68" s="13">
        <f t="shared" ref="N68:O68" si="156">M68*0.8</f>
        <v>59.2</v>
      </c>
      <c r="O68" s="13">
        <f t="shared" si="156"/>
        <v>47.36</v>
      </c>
      <c r="P68" s="6">
        <f t="shared" si="11"/>
        <v>65</v>
      </c>
      <c r="Q68" s="13">
        <f t="shared" si="12"/>
        <v>65</v>
      </c>
      <c r="R68" s="13">
        <f t="shared" si="13"/>
        <v>65</v>
      </c>
      <c r="S68" s="13">
        <f t="shared" si="14"/>
        <v>65</v>
      </c>
      <c r="T68" s="13">
        <f t="shared" si="15"/>
        <v>67</v>
      </c>
      <c r="U68" s="13">
        <f t="shared" si="16"/>
        <v>77.05</v>
      </c>
      <c r="V68" s="16">
        <f t="shared" si="17"/>
        <v>134</v>
      </c>
      <c r="X68" s="7">
        <f t="shared" si="18"/>
        <v>86</v>
      </c>
      <c r="Y68" s="17" t="s">
        <v>39</v>
      </c>
      <c r="Z68" s="17" t="s">
        <v>39</v>
      </c>
      <c r="AA68" s="15">
        <f t="shared" si="19"/>
        <v>160</v>
      </c>
      <c r="AB68" s="15">
        <f t="shared" si="20"/>
        <v>16.25</v>
      </c>
      <c r="AC68" s="18">
        <f t="shared" si="21"/>
        <v>2</v>
      </c>
      <c r="AD68" s="13">
        <f t="shared" si="22"/>
        <v>0.8</v>
      </c>
      <c r="AE68" s="13">
        <f t="shared" si="23"/>
        <v>1.142857143</v>
      </c>
      <c r="AF68" s="13">
        <f t="shared" si="24"/>
        <v>37</v>
      </c>
      <c r="AG68" s="13">
        <f t="shared" si="25"/>
        <v>21.14285714</v>
      </c>
      <c r="AH68" s="13">
        <f t="shared" si="26"/>
        <v>14.8</v>
      </c>
      <c r="AI68" s="6">
        <v>1.0</v>
      </c>
      <c r="AJ68" s="6">
        <v>1.0</v>
      </c>
      <c r="AK68" s="13">
        <f t="shared" si="27"/>
        <v>1.15</v>
      </c>
      <c r="AL68" s="16">
        <f t="shared" si="28"/>
        <v>1.15</v>
      </c>
    </row>
    <row r="69">
      <c r="A69" s="19"/>
      <c r="B69" s="5">
        <v>65.0</v>
      </c>
      <c r="C69" s="6">
        <f t="shared" si="3"/>
        <v>11.27197556</v>
      </c>
      <c r="D69" s="6">
        <f t="shared" si="4"/>
        <v>35.14486146</v>
      </c>
      <c r="E69" s="13">
        <f t="shared" ref="E69:F69" si="157">D69*1.25</f>
        <v>43.93107682</v>
      </c>
      <c r="F69" s="13">
        <f t="shared" si="157"/>
        <v>54.91384603</v>
      </c>
      <c r="G69" s="13">
        <f t="shared" si="6"/>
        <v>82.37076904</v>
      </c>
      <c r="H69" s="14">
        <f t="shared" si="7"/>
        <v>15</v>
      </c>
      <c r="I69" s="6"/>
      <c r="J69" s="6">
        <f t="shared" si="8"/>
        <v>15</v>
      </c>
      <c r="K69" s="13">
        <f t="shared" si="30"/>
        <v>75.75</v>
      </c>
      <c r="L69" s="13">
        <f t="shared" si="31"/>
        <v>83.75</v>
      </c>
      <c r="M69" s="15">
        <f t="shared" si="9"/>
        <v>75</v>
      </c>
      <c r="N69" s="13">
        <f t="shared" ref="N69:O69" si="158">M69*0.8</f>
        <v>60</v>
      </c>
      <c r="O69" s="13">
        <f t="shared" si="158"/>
        <v>48</v>
      </c>
      <c r="P69" s="6">
        <f t="shared" si="11"/>
        <v>66</v>
      </c>
      <c r="Q69" s="13">
        <f t="shared" si="12"/>
        <v>66</v>
      </c>
      <c r="R69" s="13">
        <f t="shared" si="13"/>
        <v>66</v>
      </c>
      <c r="S69" s="13">
        <f t="shared" si="14"/>
        <v>66</v>
      </c>
      <c r="T69" s="13">
        <f t="shared" si="15"/>
        <v>68</v>
      </c>
      <c r="U69" s="13">
        <f t="shared" si="16"/>
        <v>78.2</v>
      </c>
      <c r="V69" s="16">
        <f t="shared" si="17"/>
        <v>136</v>
      </c>
      <c r="X69" s="7">
        <f t="shared" si="18"/>
        <v>85</v>
      </c>
      <c r="Y69" s="17" t="s">
        <v>39</v>
      </c>
      <c r="Z69" s="17" t="s">
        <v>39</v>
      </c>
      <c r="AA69" s="15">
        <f t="shared" si="19"/>
        <v>162.5</v>
      </c>
      <c r="AB69" s="15">
        <f t="shared" si="20"/>
        <v>16.5</v>
      </c>
      <c r="AC69" s="18">
        <f t="shared" si="21"/>
        <v>2</v>
      </c>
      <c r="AD69" s="13">
        <f t="shared" si="22"/>
        <v>0.8</v>
      </c>
      <c r="AE69" s="13">
        <f t="shared" si="23"/>
        <v>1.142857143</v>
      </c>
      <c r="AF69" s="13">
        <f t="shared" si="24"/>
        <v>36</v>
      </c>
      <c r="AG69" s="13">
        <f t="shared" si="25"/>
        <v>20.57142857</v>
      </c>
      <c r="AH69" s="13">
        <f t="shared" si="26"/>
        <v>14.4</v>
      </c>
      <c r="AI69" s="6">
        <v>1.0</v>
      </c>
      <c r="AJ69" s="6">
        <v>1.0</v>
      </c>
      <c r="AK69" s="13">
        <f t="shared" si="27"/>
        <v>1.125</v>
      </c>
      <c r="AL69" s="16">
        <f t="shared" si="28"/>
        <v>1.125</v>
      </c>
    </row>
    <row r="70">
      <c r="A70" s="19"/>
      <c r="B70" s="5">
        <v>66.0</v>
      </c>
      <c r="C70" s="6">
        <f t="shared" si="3"/>
        <v>11.43769826</v>
      </c>
      <c r="D70" s="6">
        <f t="shared" si="4"/>
        <v>35.67016702</v>
      </c>
      <c r="E70" s="13">
        <f t="shared" ref="E70:F70" si="159">D70*1.25</f>
        <v>44.58770877</v>
      </c>
      <c r="F70" s="13">
        <f t="shared" si="159"/>
        <v>55.73463597</v>
      </c>
      <c r="G70" s="13">
        <f t="shared" si="6"/>
        <v>83.60195395</v>
      </c>
      <c r="H70" s="14">
        <f t="shared" si="7"/>
        <v>15.2</v>
      </c>
      <c r="I70" s="6"/>
      <c r="J70" s="6">
        <f t="shared" si="8"/>
        <v>15.2</v>
      </c>
      <c r="K70" s="13">
        <f t="shared" si="30"/>
        <v>76.9</v>
      </c>
      <c r="L70" s="13">
        <f t="shared" si="31"/>
        <v>85</v>
      </c>
      <c r="M70" s="15">
        <f t="shared" si="9"/>
        <v>76</v>
      </c>
      <c r="N70" s="13">
        <f t="shared" ref="N70:O70" si="160">M70*0.8</f>
        <v>60.8</v>
      </c>
      <c r="O70" s="13">
        <f t="shared" si="160"/>
        <v>48.64</v>
      </c>
      <c r="P70" s="6">
        <f t="shared" si="11"/>
        <v>67</v>
      </c>
      <c r="Q70" s="13">
        <f t="shared" si="12"/>
        <v>67</v>
      </c>
      <c r="R70" s="13">
        <f t="shared" si="13"/>
        <v>67</v>
      </c>
      <c r="S70" s="13">
        <f t="shared" si="14"/>
        <v>67</v>
      </c>
      <c r="T70" s="13">
        <f t="shared" si="15"/>
        <v>69</v>
      </c>
      <c r="U70" s="13">
        <f t="shared" si="16"/>
        <v>79.35</v>
      </c>
      <c r="V70" s="16">
        <f t="shared" si="17"/>
        <v>138</v>
      </c>
      <c r="X70" s="7">
        <f t="shared" si="18"/>
        <v>84</v>
      </c>
      <c r="Y70" s="17" t="s">
        <v>39</v>
      </c>
      <c r="Z70" s="17" t="s">
        <v>39</v>
      </c>
      <c r="AA70" s="15">
        <f t="shared" si="19"/>
        <v>165</v>
      </c>
      <c r="AB70" s="15">
        <f t="shared" si="20"/>
        <v>16.75</v>
      </c>
      <c r="AC70" s="18">
        <f t="shared" si="21"/>
        <v>2</v>
      </c>
      <c r="AD70" s="13">
        <f t="shared" si="22"/>
        <v>0.8</v>
      </c>
      <c r="AE70" s="13">
        <f t="shared" si="23"/>
        <v>1.142857143</v>
      </c>
      <c r="AF70" s="13">
        <f t="shared" si="24"/>
        <v>35</v>
      </c>
      <c r="AG70" s="13">
        <f t="shared" si="25"/>
        <v>20</v>
      </c>
      <c r="AH70" s="13">
        <f t="shared" si="26"/>
        <v>14</v>
      </c>
      <c r="AI70" s="6">
        <v>1.0</v>
      </c>
      <c r="AJ70" s="6">
        <v>1.0</v>
      </c>
      <c r="AK70" s="13">
        <f t="shared" si="27"/>
        <v>1.1</v>
      </c>
      <c r="AL70" s="16">
        <f t="shared" si="28"/>
        <v>1.1</v>
      </c>
    </row>
    <row r="71">
      <c r="A71" s="19"/>
      <c r="B71" s="5">
        <v>67.0</v>
      </c>
      <c r="C71" s="6">
        <f t="shared" si="3"/>
        <v>11.60342096</v>
      </c>
      <c r="D71" s="6">
        <f t="shared" si="4"/>
        <v>36.19547258</v>
      </c>
      <c r="E71" s="13">
        <f t="shared" ref="E71:F71" si="161">D71*1.25</f>
        <v>45.24434072</v>
      </c>
      <c r="F71" s="13">
        <f t="shared" si="161"/>
        <v>56.5554259</v>
      </c>
      <c r="G71" s="13">
        <f t="shared" si="6"/>
        <v>84.83313886</v>
      </c>
      <c r="H71" s="14">
        <f t="shared" si="7"/>
        <v>15.4</v>
      </c>
      <c r="I71" s="6"/>
      <c r="J71" s="6">
        <f t="shared" si="8"/>
        <v>15.4</v>
      </c>
      <c r="K71" s="13">
        <f t="shared" si="30"/>
        <v>78.05</v>
      </c>
      <c r="L71" s="13">
        <f t="shared" si="31"/>
        <v>86.25</v>
      </c>
      <c r="M71" s="15">
        <f t="shared" si="9"/>
        <v>77</v>
      </c>
      <c r="N71" s="13">
        <f t="shared" ref="N71:O71" si="162">M71*0.8</f>
        <v>61.6</v>
      </c>
      <c r="O71" s="13">
        <f t="shared" si="162"/>
        <v>49.28</v>
      </c>
      <c r="P71" s="6">
        <f t="shared" si="11"/>
        <v>68</v>
      </c>
      <c r="Q71" s="13">
        <f t="shared" si="12"/>
        <v>68</v>
      </c>
      <c r="R71" s="13">
        <f t="shared" si="13"/>
        <v>68</v>
      </c>
      <c r="S71" s="13">
        <f t="shared" si="14"/>
        <v>68</v>
      </c>
      <c r="T71" s="13">
        <f t="shared" si="15"/>
        <v>70</v>
      </c>
      <c r="U71" s="13">
        <f t="shared" si="16"/>
        <v>80.5</v>
      </c>
      <c r="V71" s="16">
        <f t="shared" si="17"/>
        <v>140</v>
      </c>
      <c r="X71" s="7">
        <f t="shared" si="18"/>
        <v>83</v>
      </c>
      <c r="Y71" s="17" t="s">
        <v>39</v>
      </c>
      <c r="Z71" s="17" t="s">
        <v>39</v>
      </c>
      <c r="AA71" s="15">
        <f t="shared" si="19"/>
        <v>167.5</v>
      </c>
      <c r="AB71" s="15">
        <f t="shared" si="20"/>
        <v>17</v>
      </c>
      <c r="AC71" s="18">
        <f t="shared" si="21"/>
        <v>2</v>
      </c>
      <c r="AD71" s="13">
        <f t="shared" si="22"/>
        <v>0.8</v>
      </c>
      <c r="AE71" s="13">
        <f t="shared" si="23"/>
        <v>1.142857143</v>
      </c>
      <c r="AF71" s="13">
        <f t="shared" si="24"/>
        <v>34</v>
      </c>
      <c r="AG71" s="13">
        <f t="shared" si="25"/>
        <v>19.42857143</v>
      </c>
      <c r="AH71" s="13">
        <f t="shared" si="26"/>
        <v>13.6</v>
      </c>
      <c r="AI71" s="6">
        <v>1.0</v>
      </c>
      <c r="AJ71" s="6">
        <v>1.0</v>
      </c>
      <c r="AK71" s="13">
        <f t="shared" si="27"/>
        <v>1.075</v>
      </c>
      <c r="AL71" s="16">
        <f t="shared" si="28"/>
        <v>1.075</v>
      </c>
    </row>
    <row r="72">
      <c r="A72" s="19"/>
      <c r="B72" s="5">
        <v>68.0</v>
      </c>
      <c r="C72" s="6">
        <f t="shared" si="3"/>
        <v>11.76914366</v>
      </c>
      <c r="D72" s="6">
        <f t="shared" si="4"/>
        <v>36.72077814</v>
      </c>
      <c r="E72" s="13">
        <f t="shared" ref="E72:F72" si="163">D72*1.25</f>
        <v>45.90097267</v>
      </c>
      <c r="F72" s="13">
        <f t="shared" si="163"/>
        <v>57.37621584</v>
      </c>
      <c r="G72" s="13">
        <f t="shared" si="6"/>
        <v>86.06432377</v>
      </c>
      <c r="H72" s="14">
        <f t="shared" si="7"/>
        <v>15.6</v>
      </c>
      <c r="I72" s="6"/>
      <c r="J72" s="6">
        <f t="shared" si="8"/>
        <v>15.6</v>
      </c>
      <c r="K72" s="13">
        <f t="shared" si="30"/>
        <v>79.2</v>
      </c>
      <c r="L72" s="13">
        <f t="shared" si="31"/>
        <v>87.5</v>
      </c>
      <c r="M72" s="15">
        <f t="shared" si="9"/>
        <v>78</v>
      </c>
      <c r="N72" s="13">
        <f t="shared" ref="N72:O72" si="164">M72*0.8</f>
        <v>62.4</v>
      </c>
      <c r="O72" s="13">
        <f t="shared" si="164"/>
        <v>49.92</v>
      </c>
      <c r="P72" s="6">
        <f t="shared" si="11"/>
        <v>69</v>
      </c>
      <c r="Q72" s="13">
        <f t="shared" si="12"/>
        <v>69</v>
      </c>
      <c r="R72" s="13">
        <f t="shared" si="13"/>
        <v>69</v>
      </c>
      <c r="S72" s="13">
        <f t="shared" si="14"/>
        <v>69</v>
      </c>
      <c r="T72" s="13">
        <f t="shared" si="15"/>
        <v>71</v>
      </c>
      <c r="U72" s="13">
        <f t="shared" si="16"/>
        <v>81.65</v>
      </c>
      <c r="V72" s="16">
        <f t="shared" si="17"/>
        <v>142</v>
      </c>
      <c r="X72" s="7">
        <f t="shared" si="18"/>
        <v>82</v>
      </c>
      <c r="Y72" s="17" t="s">
        <v>39</v>
      </c>
      <c r="Z72" s="17" t="s">
        <v>39</v>
      </c>
      <c r="AA72" s="15">
        <f t="shared" si="19"/>
        <v>170</v>
      </c>
      <c r="AB72" s="15">
        <f t="shared" si="20"/>
        <v>17.25</v>
      </c>
      <c r="AC72" s="18">
        <f t="shared" si="21"/>
        <v>2</v>
      </c>
      <c r="AD72" s="13">
        <f t="shared" si="22"/>
        <v>0.8</v>
      </c>
      <c r="AE72" s="13">
        <f t="shared" si="23"/>
        <v>1.142857143</v>
      </c>
      <c r="AF72" s="13">
        <f t="shared" si="24"/>
        <v>33</v>
      </c>
      <c r="AG72" s="13">
        <f t="shared" si="25"/>
        <v>18.85714286</v>
      </c>
      <c r="AH72" s="13">
        <f t="shared" si="26"/>
        <v>13.2</v>
      </c>
      <c r="AI72" s="6">
        <v>1.0</v>
      </c>
      <c r="AJ72" s="6">
        <v>1.0</v>
      </c>
      <c r="AK72" s="13">
        <f t="shared" si="27"/>
        <v>1.05</v>
      </c>
      <c r="AL72" s="16">
        <f t="shared" si="28"/>
        <v>1.05</v>
      </c>
    </row>
    <row r="73">
      <c r="A73" s="19"/>
      <c r="B73" s="5">
        <v>69.0</v>
      </c>
      <c r="C73" s="6">
        <f t="shared" si="3"/>
        <v>11.93486636</v>
      </c>
      <c r="D73" s="6">
        <f t="shared" si="4"/>
        <v>37.2460837</v>
      </c>
      <c r="E73" s="13">
        <f t="shared" ref="E73:F73" si="165">D73*1.25</f>
        <v>46.55760463</v>
      </c>
      <c r="F73" s="13">
        <f t="shared" si="165"/>
        <v>58.19700578</v>
      </c>
      <c r="G73" s="13">
        <f t="shared" si="6"/>
        <v>87.29550867</v>
      </c>
      <c r="H73" s="14">
        <f t="shared" si="7"/>
        <v>15.8</v>
      </c>
      <c r="I73" s="6"/>
      <c r="J73" s="6">
        <f t="shared" si="8"/>
        <v>15.8</v>
      </c>
      <c r="K73" s="13">
        <f t="shared" si="30"/>
        <v>80.35</v>
      </c>
      <c r="L73" s="13">
        <f t="shared" si="31"/>
        <v>88.75</v>
      </c>
      <c r="M73" s="15">
        <f t="shared" si="9"/>
        <v>79</v>
      </c>
      <c r="N73" s="13">
        <f t="shared" ref="N73:O73" si="166">M73*0.8</f>
        <v>63.2</v>
      </c>
      <c r="O73" s="13">
        <f t="shared" si="166"/>
        <v>50.56</v>
      </c>
      <c r="P73" s="6">
        <f t="shared" si="11"/>
        <v>70</v>
      </c>
      <c r="Q73" s="13">
        <f t="shared" si="12"/>
        <v>70</v>
      </c>
      <c r="R73" s="13">
        <f t="shared" si="13"/>
        <v>70</v>
      </c>
      <c r="S73" s="13">
        <f t="shared" si="14"/>
        <v>70</v>
      </c>
      <c r="T73" s="13">
        <f t="shared" si="15"/>
        <v>72</v>
      </c>
      <c r="U73" s="13">
        <f t="shared" si="16"/>
        <v>82.8</v>
      </c>
      <c r="V73" s="16">
        <f t="shared" si="17"/>
        <v>144</v>
      </c>
      <c r="X73" s="7">
        <f t="shared" si="18"/>
        <v>81</v>
      </c>
      <c r="Y73" s="17" t="s">
        <v>39</v>
      </c>
      <c r="Z73" s="17" t="s">
        <v>39</v>
      </c>
      <c r="AA73" s="15">
        <f t="shared" si="19"/>
        <v>172.5</v>
      </c>
      <c r="AB73" s="15">
        <f t="shared" si="20"/>
        <v>17.5</v>
      </c>
      <c r="AC73" s="18">
        <f t="shared" si="21"/>
        <v>2</v>
      </c>
      <c r="AD73" s="13">
        <f t="shared" si="22"/>
        <v>0.8</v>
      </c>
      <c r="AE73" s="13">
        <f t="shared" si="23"/>
        <v>1.142857143</v>
      </c>
      <c r="AF73" s="13">
        <f t="shared" si="24"/>
        <v>32</v>
      </c>
      <c r="AG73" s="13">
        <f t="shared" si="25"/>
        <v>18.28571429</v>
      </c>
      <c r="AH73" s="13">
        <f t="shared" si="26"/>
        <v>12.8</v>
      </c>
      <c r="AI73" s="6">
        <v>1.0</v>
      </c>
      <c r="AJ73" s="6">
        <v>1.0</v>
      </c>
      <c r="AK73" s="13">
        <f t="shared" si="27"/>
        <v>1.025</v>
      </c>
      <c r="AL73" s="16">
        <f t="shared" si="28"/>
        <v>1.025</v>
      </c>
    </row>
    <row r="74">
      <c r="A74" s="19"/>
      <c r="B74" s="5">
        <v>70.0</v>
      </c>
      <c r="C74" s="6">
        <f t="shared" si="3"/>
        <v>12.10058906</v>
      </c>
      <c r="D74" s="6">
        <f t="shared" si="4"/>
        <v>37.77138926</v>
      </c>
      <c r="E74" s="13">
        <f t="shared" ref="E74:F74" si="167">D74*1.25</f>
        <v>47.21423658</v>
      </c>
      <c r="F74" s="13">
        <f t="shared" si="167"/>
        <v>59.01779572</v>
      </c>
      <c r="G74" s="13">
        <f t="shared" si="6"/>
        <v>88.52669358</v>
      </c>
      <c r="H74" s="14">
        <f t="shared" si="7"/>
        <v>16</v>
      </c>
      <c r="I74" s="6"/>
      <c r="J74" s="6">
        <f t="shared" si="8"/>
        <v>16</v>
      </c>
      <c r="K74" s="13">
        <f t="shared" si="30"/>
        <v>81.5</v>
      </c>
      <c r="L74" s="13">
        <f t="shared" si="31"/>
        <v>90</v>
      </c>
      <c r="M74" s="15">
        <f t="shared" si="9"/>
        <v>80</v>
      </c>
      <c r="N74" s="13">
        <f t="shared" ref="N74:O74" si="168">M74*0.8</f>
        <v>64</v>
      </c>
      <c r="O74" s="13">
        <f t="shared" si="168"/>
        <v>51.2</v>
      </c>
      <c r="P74" s="6">
        <f t="shared" si="11"/>
        <v>71</v>
      </c>
      <c r="Q74" s="13">
        <f t="shared" si="12"/>
        <v>71</v>
      </c>
      <c r="R74" s="13">
        <f t="shared" si="13"/>
        <v>71</v>
      </c>
      <c r="S74" s="13">
        <f t="shared" si="14"/>
        <v>71</v>
      </c>
      <c r="T74" s="13">
        <f t="shared" si="15"/>
        <v>73</v>
      </c>
      <c r="U74" s="13">
        <f t="shared" si="16"/>
        <v>83.95</v>
      </c>
      <c r="V74" s="16">
        <f t="shared" si="17"/>
        <v>146</v>
      </c>
      <c r="X74" s="7">
        <f t="shared" si="18"/>
        <v>80</v>
      </c>
      <c r="Y74" s="17" t="s">
        <v>39</v>
      </c>
      <c r="Z74" s="17" t="s">
        <v>39</v>
      </c>
      <c r="AA74" s="15">
        <f t="shared" si="19"/>
        <v>175</v>
      </c>
      <c r="AB74" s="15">
        <f t="shared" si="20"/>
        <v>17.75</v>
      </c>
      <c r="AC74" s="18">
        <f t="shared" si="21"/>
        <v>2</v>
      </c>
      <c r="AD74" s="13">
        <f t="shared" si="22"/>
        <v>0.8</v>
      </c>
      <c r="AE74" s="13">
        <f t="shared" si="23"/>
        <v>1.142857143</v>
      </c>
      <c r="AF74" s="13">
        <f t="shared" si="24"/>
        <v>31</v>
      </c>
      <c r="AG74" s="13">
        <f t="shared" si="25"/>
        <v>17.71428571</v>
      </c>
      <c r="AH74" s="13">
        <f t="shared" si="26"/>
        <v>12.4</v>
      </c>
      <c r="AI74" s="6">
        <v>1.0</v>
      </c>
      <c r="AJ74" s="6">
        <v>1.0</v>
      </c>
      <c r="AK74" s="13">
        <f t="shared" si="27"/>
        <v>1</v>
      </c>
      <c r="AL74" s="16">
        <f t="shared" si="28"/>
        <v>1</v>
      </c>
    </row>
    <row r="75">
      <c r="A75" s="19"/>
      <c r="B75" s="5">
        <v>71.0</v>
      </c>
      <c r="C75" s="6">
        <f t="shared" si="3"/>
        <v>12.26631176</v>
      </c>
      <c r="D75" s="6">
        <f t="shared" si="4"/>
        <v>38.29669482</v>
      </c>
      <c r="E75" s="13">
        <f t="shared" ref="E75:F75" si="169">D75*1.25</f>
        <v>47.87086853</v>
      </c>
      <c r="F75" s="13">
        <f t="shared" si="169"/>
        <v>59.83858566</v>
      </c>
      <c r="G75" s="13">
        <f t="shared" si="6"/>
        <v>89.75787849</v>
      </c>
      <c r="H75" s="14">
        <f t="shared" si="7"/>
        <v>16.2</v>
      </c>
      <c r="I75" s="6"/>
      <c r="J75" s="6">
        <f t="shared" si="8"/>
        <v>16.2</v>
      </c>
      <c r="K75" s="13">
        <f t="shared" si="30"/>
        <v>82.65</v>
      </c>
      <c r="L75" s="13">
        <f t="shared" si="31"/>
        <v>91.25</v>
      </c>
      <c r="M75" s="15">
        <f t="shared" si="9"/>
        <v>81</v>
      </c>
      <c r="N75" s="13">
        <f t="shared" ref="N75:O75" si="170">M75*0.8</f>
        <v>64.8</v>
      </c>
      <c r="O75" s="13">
        <f t="shared" si="170"/>
        <v>51.84</v>
      </c>
      <c r="P75" s="6">
        <f t="shared" si="11"/>
        <v>72</v>
      </c>
      <c r="Q75" s="13">
        <f t="shared" si="12"/>
        <v>72</v>
      </c>
      <c r="R75" s="13">
        <f t="shared" si="13"/>
        <v>72</v>
      </c>
      <c r="S75" s="13">
        <f t="shared" si="14"/>
        <v>72</v>
      </c>
      <c r="T75" s="13">
        <f t="shared" si="15"/>
        <v>74</v>
      </c>
      <c r="U75" s="13">
        <f t="shared" si="16"/>
        <v>85.1</v>
      </c>
      <c r="V75" s="16">
        <f t="shared" si="17"/>
        <v>148</v>
      </c>
      <c r="X75" s="7">
        <f t="shared" si="18"/>
        <v>79</v>
      </c>
      <c r="Y75" s="17" t="s">
        <v>39</v>
      </c>
      <c r="Z75" s="17" t="s">
        <v>39</v>
      </c>
      <c r="AA75" s="15">
        <f t="shared" si="19"/>
        <v>177.5</v>
      </c>
      <c r="AB75" s="15">
        <f t="shared" si="20"/>
        <v>18</v>
      </c>
      <c r="AC75" s="18">
        <f t="shared" si="21"/>
        <v>2</v>
      </c>
      <c r="AD75" s="13">
        <f t="shared" si="22"/>
        <v>0.8</v>
      </c>
      <c r="AE75" s="13">
        <f t="shared" si="23"/>
        <v>1.142857143</v>
      </c>
      <c r="AF75" s="13">
        <f t="shared" si="24"/>
        <v>30</v>
      </c>
      <c r="AG75" s="13">
        <f t="shared" si="25"/>
        <v>17.14285714</v>
      </c>
      <c r="AH75" s="13">
        <f t="shared" si="26"/>
        <v>12</v>
      </c>
      <c r="AI75" s="6">
        <v>1.0</v>
      </c>
      <c r="AJ75" s="6">
        <v>1.0</v>
      </c>
      <c r="AK75" s="13">
        <f t="shared" si="27"/>
        <v>0.975</v>
      </c>
      <c r="AL75" s="16">
        <f t="shared" si="28"/>
        <v>0.975</v>
      </c>
    </row>
    <row r="76">
      <c r="A76" s="19"/>
      <c r="B76" s="5">
        <v>72.0</v>
      </c>
      <c r="C76" s="6">
        <f t="shared" si="3"/>
        <v>12.43203446</v>
      </c>
      <c r="D76" s="6">
        <f t="shared" si="4"/>
        <v>38.82200038</v>
      </c>
      <c r="E76" s="13">
        <f t="shared" ref="E76:F76" si="171">D76*1.25</f>
        <v>48.52750048</v>
      </c>
      <c r="F76" s="13">
        <f t="shared" si="171"/>
        <v>60.6593756</v>
      </c>
      <c r="G76" s="13">
        <f t="shared" si="6"/>
        <v>90.9890634</v>
      </c>
      <c r="H76" s="14">
        <f t="shared" si="7"/>
        <v>16.4</v>
      </c>
      <c r="I76" s="6"/>
      <c r="J76" s="6">
        <f t="shared" si="8"/>
        <v>16.4</v>
      </c>
      <c r="K76" s="13">
        <f t="shared" si="30"/>
        <v>83.8</v>
      </c>
      <c r="L76" s="13">
        <f t="shared" si="31"/>
        <v>92.5</v>
      </c>
      <c r="M76" s="15">
        <f t="shared" si="9"/>
        <v>82</v>
      </c>
      <c r="N76" s="13">
        <f t="shared" ref="N76:O76" si="172">M76*0.8</f>
        <v>65.6</v>
      </c>
      <c r="O76" s="13">
        <f t="shared" si="172"/>
        <v>52.48</v>
      </c>
      <c r="P76" s="6">
        <f t="shared" si="11"/>
        <v>73</v>
      </c>
      <c r="Q76" s="13">
        <f t="shared" si="12"/>
        <v>73</v>
      </c>
      <c r="R76" s="13">
        <f t="shared" si="13"/>
        <v>73</v>
      </c>
      <c r="S76" s="13">
        <f t="shared" si="14"/>
        <v>73</v>
      </c>
      <c r="T76" s="13">
        <f t="shared" si="15"/>
        <v>75</v>
      </c>
      <c r="U76" s="13">
        <f t="shared" si="16"/>
        <v>86.25</v>
      </c>
      <c r="V76" s="16">
        <f t="shared" si="17"/>
        <v>150</v>
      </c>
      <c r="X76" s="7">
        <f t="shared" si="18"/>
        <v>78</v>
      </c>
      <c r="Y76" s="17" t="s">
        <v>39</v>
      </c>
      <c r="Z76" s="17" t="s">
        <v>39</v>
      </c>
      <c r="AA76" s="15">
        <f t="shared" si="19"/>
        <v>180</v>
      </c>
      <c r="AB76" s="15">
        <f t="shared" si="20"/>
        <v>18.25</v>
      </c>
      <c r="AC76" s="18">
        <f t="shared" si="21"/>
        <v>2</v>
      </c>
      <c r="AD76" s="13">
        <f t="shared" si="22"/>
        <v>0.8</v>
      </c>
      <c r="AE76" s="13">
        <f t="shared" si="23"/>
        <v>1.142857143</v>
      </c>
      <c r="AF76" s="13">
        <f t="shared" si="24"/>
        <v>29</v>
      </c>
      <c r="AG76" s="13">
        <f t="shared" si="25"/>
        <v>16.57142857</v>
      </c>
      <c r="AH76" s="13">
        <f t="shared" si="26"/>
        <v>11.6</v>
      </c>
      <c r="AI76" s="6">
        <v>1.0</v>
      </c>
      <c r="AJ76" s="6">
        <v>1.0</v>
      </c>
      <c r="AK76" s="13">
        <f t="shared" si="27"/>
        <v>0.95</v>
      </c>
      <c r="AL76" s="16">
        <f t="shared" si="28"/>
        <v>0.95</v>
      </c>
    </row>
    <row r="77">
      <c r="A77" s="19"/>
      <c r="B77" s="5">
        <v>73.0</v>
      </c>
      <c r="C77" s="6">
        <f t="shared" si="3"/>
        <v>12.59775716</v>
      </c>
      <c r="D77" s="6">
        <f t="shared" si="4"/>
        <v>39.34730594</v>
      </c>
      <c r="E77" s="13">
        <f t="shared" ref="E77:F77" si="173">D77*1.25</f>
        <v>49.18413243</v>
      </c>
      <c r="F77" s="13">
        <f t="shared" si="173"/>
        <v>61.48016554</v>
      </c>
      <c r="G77" s="13">
        <f t="shared" si="6"/>
        <v>92.22024831</v>
      </c>
      <c r="H77" s="14">
        <f t="shared" si="7"/>
        <v>16.6</v>
      </c>
      <c r="I77" s="6"/>
      <c r="J77" s="6">
        <f t="shared" si="8"/>
        <v>16.6</v>
      </c>
      <c r="K77" s="13">
        <f t="shared" si="30"/>
        <v>84.95</v>
      </c>
      <c r="L77" s="13">
        <f t="shared" si="31"/>
        <v>93.75</v>
      </c>
      <c r="M77" s="15">
        <f t="shared" si="9"/>
        <v>83</v>
      </c>
      <c r="N77" s="13">
        <f t="shared" ref="N77:O77" si="174">M77*0.8</f>
        <v>66.4</v>
      </c>
      <c r="O77" s="13">
        <f t="shared" si="174"/>
        <v>53.12</v>
      </c>
      <c r="P77" s="6">
        <f t="shared" si="11"/>
        <v>74</v>
      </c>
      <c r="Q77" s="13">
        <f t="shared" si="12"/>
        <v>74</v>
      </c>
      <c r="R77" s="13">
        <f t="shared" si="13"/>
        <v>74</v>
      </c>
      <c r="S77" s="13">
        <f t="shared" si="14"/>
        <v>74</v>
      </c>
      <c r="T77" s="13">
        <f t="shared" si="15"/>
        <v>76</v>
      </c>
      <c r="U77" s="13">
        <f t="shared" si="16"/>
        <v>87.4</v>
      </c>
      <c r="V77" s="16">
        <f t="shared" si="17"/>
        <v>152</v>
      </c>
      <c r="X77" s="7">
        <f t="shared" si="18"/>
        <v>77</v>
      </c>
      <c r="Y77" s="17" t="s">
        <v>39</v>
      </c>
      <c r="Z77" s="17" t="s">
        <v>39</v>
      </c>
      <c r="AA77" s="15">
        <f t="shared" si="19"/>
        <v>182.5</v>
      </c>
      <c r="AB77" s="15">
        <f t="shared" si="20"/>
        <v>18.5</v>
      </c>
      <c r="AC77" s="18">
        <f t="shared" si="21"/>
        <v>2</v>
      </c>
      <c r="AD77" s="13">
        <f t="shared" si="22"/>
        <v>0.8</v>
      </c>
      <c r="AE77" s="13">
        <f t="shared" si="23"/>
        <v>1.142857143</v>
      </c>
      <c r="AF77" s="13">
        <f t="shared" si="24"/>
        <v>28</v>
      </c>
      <c r="AG77" s="13">
        <f t="shared" si="25"/>
        <v>16</v>
      </c>
      <c r="AH77" s="13">
        <f t="shared" si="26"/>
        <v>11.2</v>
      </c>
      <c r="AI77" s="6">
        <v>1.0</v>
      </c>
      <c r="AJ77" s="6">
        <v>1.0</v>
      </c>
      <c r="AK77" s="13">
        <f t="shared" si="27"/>
        <v>0.925</v>
      </c>
      <c r="AL77" s="16">
        <f t="shared" si="28"/>
        <v>0.925</v>
      </c>
    </row>
    <row r="78">
      <c r="A78" s="19"/>
      <c r="B78" s="5">
        <v>74.0</v>
      </c>
      <c r="C78" s="6">
        <f t="shared" si="3"/>
        <v>12.76347986</v>
      </c>
      <c r="D78" s="6">
        <f t="shared" si="4"/>
        <v>39.87261151</v>
      </c>
      <c r="E78" s="13">
        <f t="shared" ref="E78:F78" si="175">D78*1.25</f>
        <v>49.84076438</v>
      </c>
      <c r="F78" s="13">
        <f t="shared" si="175"/>
        <v>62.30095548</v>
      </c>
      <c r="G78" s="13">
        <f t="shared" si="6"/>
        <v>93.45143322</v>
      </c>
      <c r="H78" s="14">
        <f t="shared" si="7"/>
        <v>16.8</v>
      </c>
      <c r="I78" s="6"/>
      <c r="J78" s="6">
        <f t="shared" si="8"/>
        <v>16.8</v>
      </c>
      <c r="K78" s="13">
        <f t="shared" si="30"/>
        <v>86.1</v>
      </c>
      <c r="L78" s="13">
        <f t="shared" si="31"/>
        <v>95</v>
      </c>
      <c r="M78" s="15">
        <f t="shared" si="9"/>
        <v>84</v>
      </c>
      <c r="N78" s="13">
        <f t="shared" ref="N78:O78" si="176">M78*0.8</f>
        <v>67.2</v>
      </c>
      <c r="O78" s="13">
        <f t="shared" si="176"/>
        <v>53.76</v>
      </c>
      <c r="P78" s="6">
        <f t="shared" si="11"/>
        <v>75</v>
      </c>
      <c r="Q78" s="13">
        <f t="shared" si="12"/>
        <v>75</v>
      </c>
      <c r="R78" s="13">
        <f t="shared" si="13"/>
        <v>75</v>
      </c>
      <c r="S78" s="13">
        <f t="shared" si="14"/>
        <v>75</v>
      </c>
      <c r="T78" s="13">
        <f t="shared" si="15"/>
        <v>77</v>
      </c>
      <c r="U78" s="13">
        <f t="shared" si="16"/>
        <v>88.55</v>
      </c>
      <c r="V78" s="16">
        <f t="shared" si="17"/>
        <v>154</v>
      </c>
      <c r="X78" s="7">
        <f t="shared" si="18"/>
        <v>76</v>
      </c>
      <c r="Y78" s="17" t="s">
        <v>39</v>
      </c>
      <c r="Z78" s="17" t="s">
        <v>39</v>
      </c>
      <c r="AA78" s="15">
        <f t="shared" si="19"/>
        <v>185</v>
      </c>
      <c r="AB78" s="15">
        <f t="shared" si="20"/>
        <v>18.75</v>
      </c>
      <c r="AC78" s="18">
        <f t="shared" si="21"/>
        <v>2</v>
      </c>
      <c r="AD78" s="13">
        <f t="shared" si="22"/>
        <v>0.8</v>
      </c>
      <c r="AE78" s="13">
        <f t="shared" si="23"/>
        <v>1.142857143</v>
      </c>
      <c r="AF78" s="13">
        <f t="shared" si="24"/>
        <v>27</v>
      </c>
      <c r="AG78" s="13">
        <f t="shared" si="25"/>
        <v>15.42857143</v>
      </c>
      <c r="AH78" s="13">
        <f t="shared" si="26"/>
        <v>10.8</v>
      </c>
      <c r="AI78" s="6">
        <v>1.0</v>
      </c>
      <c r="AJ78" s="6">
        <v>1.0</v>
      </c>
      <c r="AK78" s="13">
        <f t="shared" si="27"/>
        <v>0.9</v>
      </c>
      <c r="AL78" s="16">
        <f t="shared" si="28"/>
        <v>0.9</v>
      </c>
    </row>
    <row r="79">
      <c r="A79" s="19"/>
      <c r="B79" s="5">
        <v>75.0</v>
      </c>
      <c r="C79" s="6">
        <f t="shared" si="3"/>
        <v>12.92920257</v>
      </c>
      <c r="D79" s="6">
        <f t="shared" si="4"/>
        <v>40.39791707</v>
      </c>
      <c r="E79" s="13">
        <f t="shared" ref="E79:F79" si="177">D79*1.25</f>
        <v>50.49739633</v>
      </c>
      <c r="F79" s="13">
        <f t="shared" si="177"/>
        <v>63.12174542</v>
      </c>
      <c r="G79" s="13">
        <f t="shared" si="6"/>
        <v>94.68261812</v>
      </c>
      <c r="H79" s="14">
        <f t="shared" si="7"/>
        <v>17</v>
      </c>
      <c r="I79" s="6"/>
      <c r="J79" s="6">
        <f t="shared" si="8"/>
        <v>17</v>
      </c>
      <c r="K79" s="13">
        <f t="shared" si="30"/>
        <v>87.25</v>
      </c>
      <c r="L79" s="13">
        <f t="shared" si="31"/>
        <v>96.25</v>
      </c>
      <c r="M79" s="15">
        <f t="shared" si="9"/>
        <v>85</v>
      </c>
      <c r="N79" s="13">
        <f t="shared" ref="N79:O79" si="178">M79*0.8</f>
        <v>68</v>
      </c>
      <c r="O79" s="13">
        <f t="shared" si="178"/>
        <v>54.4</v>
      </c>
      <c r="P79" s="6">
        <f t="shared" si="11"/>
        <v>76</v>
      </c>
      <c r="Q79" s="13">
        <f t="shared" si="12"/>
        <v>76</v>
      </c>
      <c r="R79" s="13">
        <f t="shared" si="13"/>
        <v>76</v>
      </c>
      <c r="S79" s="13">
        <f t="shared" si="14"/>
        <v>76</v>
      </c>
      <c r="T79" s="13">
        <f t="shared" si="15"/>
        <v>78</v>
      </c>
      <c r="U79" s="13">
        <f t="shared" si="16"/>
        <v>89.7</v>
      </c>
      <c r="V79" s="16">
        <f t="shared" si="17"/>
        <v>156</v>
      </c>
      <c r="X79" s="7">
        <f t="shared" si="18"/>
        <v>75</v>
      </c>
      <c r="Y79" s="17" t="s">
        <v>39</v>
      </c>
      <c r="Z79" s="17" t="s">
        <v>39</v>
      </c>
      <c r="AA79" s="15">
        <f t="shared" si="19"/>
        <v>187.5</v>
      </c>
      <c r="AB79" s="15">
        <f t="shared" si="20"/>
        <v>19</v>
      </c>
      <c r="AC79" s="18">
        <f t="shared" si="21"/>
        <v>2</v>
      </c>
      <c r="AD79" s="13">
        <f t="shared" si="22"/>
        <v>0.8</v>
      </c>
      <c r="AE79" s="13">
        <f t="shared" si="23"/>
        <v>1.142857143</v>
      </c>
      <c r="AF79" s="13">
        <f t="shared" si="24"/>
        <v>26</v>
      </c>
      <c r="AG79" s="13">
        <f t="shared" si="25"/>
        <v>14.85714286</v>
      </c>
      <c r="AH79" s="13">
        <f t="shared" si="26"/>
        <v>10.4</v>
      </c>
      <c r="AI79" s="6">
        <v>1.0</v>
      </c>
      <c r="AJ79" s="6">
        <v>1.0</v>
      </c>
      <c r="AK79" s="13">
        <f t="shared" si="27"/>
        <v>0.875</v>
      </c>
      <c r="AL79" s="16">
        <f t="shared" si="28"/>
        <v>0.875</v>
      </c>
    </row>
    <row r="80">
      <c r="A80" s="19"/>
      <c r="B80" s="5">
        <v>76.0</v>
      </c>
      <c r="C80" s="6">
        <f t="shared" si="3"/>
        <v>13.09492527</v>
      </c>
      <c r="D80" s="6">
        <f t="shared" si="4"/>
        <v>40.92322263</v>
      </c>
      <c r="E80" s="13">
        <f t="shared" ref="E80:F80" si="179">D80*1.25</f>
        <v>51.15402828</v>
      </c>
      <c r="F80" s="13">
        <f t="shared" si="179"/>
        <v>63.94253535</v>
      </c>
      <c r="G80" s="13">
        <f t="shared" si="6"/>
        <v>95.91380303</v>
      </c>
      <c r="H80" s="14">
        <f t="shared" si="7"/>
        <v>17.2</v>
      </c>
      <c r="I80" s="6"/>
      <c r="J80" s="6">
        <f t="shared" si="8"/>
        <v>17.2</v>
      </c>
      <c r="K80" s="13">
        <f t="shared" si="30"/>
        <v>88.4</v>
      </c>
      <c r="L80" s="13">
        <f t="shared" si="31"/>
        <v>97.5</v>
      </c>
      <c r="M80" s="15">
        <f t="shared" si="9"/>
        <v>86</v>
      </c>
      <c r="N80" s="13">
        <f t="shared" ref="N80:O80" si="180">M80*0.8</f>
        <v>68.8</v>
      </c>
      <c r="O80" s="13">
        <f t="shared" si="180"/>
        <v>55.04</v>
      </c>
      <c r="P80" s="6">
        <f t="shared" si="11"/>
        <v>77</v>
      </c>
      <c r="Q80" s="13">
        <f t="shared" si="12"/>
        <v>77</v>
      </c>
      <c r="R80" s="13">
        <f t="shared" si="13"/>
        <v>77</v>
      </c>
      <c r="S80" s="13">
        <f t="shared" si="14"/>
        <v>77</v>
      </c>
      <c r="T80" s="13">
        <f t="shared" si="15"/>
        <v>79</v>
      </c>
      <c r="U80" s="13">
        <f t="shared" si="16"/>
        <v>90.85</v>
      </c>
      <c r="V80" s="16">
        <f t="shared" si="17"/>
        <v>158</v>
      </c>
      <c r="X80" s="7">
        <f t="shared" si="18"/>
        <v>74</v>
      </c>
      <c r="Y80" s="17" t="s">
        <v>39</v>
      </c>
      <c r="Z80" s="17" t="s">
        <v>39</v>
      </c>
      <c r="AA80" s="15">
        <f t="shared" si="19"/>
        <v>190</v>
      </c>
      <c r="AB80" s="15">
        <f t="shared" si="20"/>
        <v>19.25</v>
      </c>
      <c r="AC80" s="18">
        <f t="shared" si="21"/>
        <v>2</v>
      </c>
      <c r="AD80" s="13">
        <f t="shared" si="22"/>
        <v>0.8</v>
      </c>
      <c r="AE80" s="13">
        <f t="shared" si="23"/>
        <v>1.142857143</v>
      </c>
      <c r="AF80" s="13">
        <f t="shared" si="24"/>
        <v>25</v>
      </c>
      <c r="AG80" s="13">
        <f t="shared" si="25"/>
        <v>14.28571429</v>
      </c>
      <c r="AH80" s="13">
        <f t="shared" si="26"/>
        <v>10</v>
      </c>
      <c r="AI80" s="6">
        <v>1.0</v>
      </c>
      <c r="AJ80" s="6">
        <v>1.0</v>
      </c>
      <c r="AK80" s="13">
        <f t="shared" si="27"/>
        <v>0.85</v>
      </c>
      <c r="AL80" s="16">
        <f t="shared" si="28"/>
        <v>0.85</v>
      </c>
    </row>
    <row r="81">
      <c r="A81" s="19"/>
      <c r="B81" s="5">
        <v>77.0</v>
      </c>
      <c r="C81" s="6">
        <f t="shared" si="3"/>
        <v>13.26064797</v>
      </c>
      <c r="D81" s="6">
        <f t="shared" si="4"/>
        <v>41.44852819</v>
      </c>
      <c r="E81" s="13">
        <f t="shared" ref="E81:F81" si="181">D81*1.25</f>
        <v>51.81066023</v>
      </c>
      <c r="F81" s="13">
        <f t="shared" si="181"/>
        <v>64.76332529</v>
      </c>
      <c r="G81" s="13">
        <f t="shared" si="6"/>
        <v>97.14498794</v>
      </c>
      <c r="H81" s="14">
        <f t="shared" si="7"/>
        <v>17.4</v>
      </c>
      <c r="I81" s="6"/>
      <c r="J81" s="6">
        <f t="shared" si="8"/>
        <v>17.4</v>
      </c>
      <c r="K81" s="13">
        <f t="shared" si="30"/>
        <v>89.55</v>
      </c>
      <c r="L81" s="13">
        <f t="shared" si="31"/>
        <v>98.75</v>
      </c>
      <c r="M81" s="15">
        <f t="shared" si="9"/>
        <v>87</v>
      </c>
      <c r="N81" s="13">
        <f t="shared" ref="N81:O81" si="182">M81*0.8</f>
        <v>69.6</v>
      </c>
      <c r="O81" s="13">
        <f t="shared" si="182"/>
        <v>55.68</v>
      </c>
      <c r="P81" s="6">
        <f t="shared" si="11"/>
        <v>78</v>
      </c>
      <c r="Q81" s="13">
        <f t="shared" si="12"/>
        <v>78</v>
      </c>
      <c r="R81" s="13">
        <f t="shared" si="13"/>
        <v>78</v>
      </c>
      <c r="S81" s="13">
        <f t="shared" si="14"/>
        <v>78</v>
      </c>
      <c r="T81" s="13">
        <f t="shared" si="15"/>
        <v>80</v>
      </c>
      <c r="U81" s="13">
        <f t="shared" si="16"/>
        <v>92</v>
      </c>
      <c r="V81" s="16">
        <f t="shared" si="17"/>
        <v>160</v>
      </c>
      <c r="X81" s="7">
        <f t="shared" si="18"/>
        <v>73</v>
      </c>
      <c r="Y81" s="17" t="s">
        <v>39</v>
      </c>
      <c r="Z81" s="17" t="s">
        <v>39</v>
      </c>
      <c r="AA81" s="15">
        <f t="shared" si="19"/>
        <v>192.5</v>
      </c>
      <c r="AB81" s="15">
        <f t="shared" si="20"/>
        <v>19.5</v>
      </c>
      <c r="AC81" s="18">
        <f t="shared" si="21"/>
        <v>2</v>
      </c>
      <c r="AD81" s="13">
        <f t="shared" si="22"/>
        <v>0.8</v>
      </c>
      <c r="AE81" s="13">
        <f t="shared" si="23"/>
        <v>1.142857143</v>
      </c>
      <c r="AF81" s="13">
        <f t="shared" si="24"/>
        <v>24</v>
      </c>
      <c r="AG81" s="13">
        <f t="shared" si="25"/>
        <v>13.71428571</v>
      </c>
      <c r="AH81" s="13">
        <f t="shared" si="26"/>
        <v>9.6</v>
      </c>
      <c r="AI81" s="6">
        <v>1.0</v>
      </c>
      <c r="AJ81" s="6">
        <v>1.0</v>
      </c>
      <c r="AK81" s="13">
        <f t="shared" si="27"/>
        <v>0.825</v>
      </c>
      <c r="AL81" s="16">
        <f t="shared" si="28"/>
        <v>0.825</v>
      </c>
    </row>
    <row r="82">
      <c r="A82" s="19"/>
      <c r="B82" s="5">
        <v>78.0</v>
      </c>
      <c r="C82" s="6">
        <f t="shared" si="3"/>
        <v>13.42637067</v>
      </c>
      <c r="D82" s="6">
        <f t="shared" si="4"/>
        <v>41.97383375</v>
      </c>
      <c r="E82" s="13">
        <f t="shared" ref="E82:F82" si="183">D82*1.25</f>
        <v>52.46729219</v>
      </c>
      <c r="F82" s="13">
        <f t="shared" si="183"/>
        <v>65.58411523</v>
      </c>
      <c r="G82" s="13">
        <f t="shared" si="6"/>
        <v>98.37617285</v>
      </c>
      <c r="H82" s="14">
        <f t="shared" si="7"/>
        <v>17.6</v>
      </c>
      <c r="I82" s="6"/>
      <c r="J82" s="6">
        <f t="shared" si="8"/>
        <v>17.6</v>
      </c>
      <c r="K82" s="13">
        <f t="shared" si="30"/>
        <v>90.7</v>
      </c>
      <c r="L82" s="13">
        <f t="shared" si="31"/>
        <v>100</v>
      </c>
      <c r="M82" s="15">
        <f t="shared" si="9"/>
        <v>88</v>
      </c>
      <c r="N82" s="13">
        <f t="shared" ref="N82:O82" si="184">M82*0.8</f>
        <v>70.4</v>
      </c>
      <c r="O82" s="13">
        <f t="shared" si="184"/>
        <v>56.32</v>
      </c>
      <c r="P82" s="6">
        <f t="shared" si="11"/>
        <v>79</v>
      </c>
      <c r="Q82" s="13">
        <f t="shared" si="12"/>
        <v>79</v>
      </c>
      <c r="R82" s="13">
        <f t="shared" si="13"/>
        <v>79</v>
      </c>
      <c r="S82" s="13">
        <f t="shared" si="14"/>
        <v>79</v>
      </c>
      <c r="T82" s="13">
        <f t="shared" si="15"/>
        <v>81</v>
      </c>
      <c r="U82" s="13">
        <f t="shared" si="16"/>
        <v>93.15</v>
      </c>
      <c r="V82" s="16">
        <f t="shared" si="17"/>
        <v>162</v>
      </c>
      <c r="X82" s="7">
        <f t="shared" si="18"/>
        <v>72</v>
      </c>
      <c r="Y82" s="17" t="s">
        <v>39</v>
      </c>
      <c r="Z82" s="17" t="s">
        <v>39</v>
      </c>
      <c r="AA82" s="15">
        <f t="shared" si="19"/>
        <v>195</v>
      </c>
      <c r="AB82" s="15">
        <f t="shared" si="20"/>
        <v>19.75</v>
      </c>
      <c r="AC82" s="18">
        <f t="shared" si="21"/>
        <v>2</v>
      </c>
      <c r="AD82" s="13">
        <f t="shared" si="22"/>
        <v>0.8</v>
      </c>
      <c r="AE82" s="13">
        <f t="shared" si="23"/>
        <v>1.142857143</v>
      </c>
      <c r="AF82" s="13">
        <f t="shared" si="24"/>
        <v>23</v>
      </c>
      <c r="AG82" s="13">
        <f t="shared" si="25"/>
        <v>13.14285714</v>
      </c>
      <c r="AH82" s="13">
        <f t="shared" si="26"/>
        <v>9.2</v>
      </c>
      <c r="AI82" s="6">
        <v>1.0</v>
      </c>
      <c r="AJ82" s="6">
        <v>1.0</v>
      </c>
      <c r="AK82" s="13">
        <f t="shared" si="27"/>
        <v>0.8</v>
      </c>
      <c r="AL82" s="16">
        <f t="shared" si="28"/>
        <v>0.8</v>
      </c>
    </row>
    <row r="83">
      <c r="A83" s="19"/>
      <c r="B83" s="5">
        <v>79.0</v>
      </c>
      <c r="C83" s="6">
        <f t="shared" si="3"/>
        <v>13.59209337</v>
      </c>
      <c r="D83" s="6">
        <f t="shared" si="4"/>
        <v>42.49913931</v>
      </c>
      <c r="E83" s="13">
        <f t="shared" ref="E83:F83" si="185">D83*1.25</f>
        <v>53.12392414</v>
      </c>
      <c r="F83" s="13">
        <f t="shared" si="185"/>
        <v>66.40490517</v>
      </c>
      <c r="G83" s="13">
        <f t="shared" si="6"/>
        <v>99.60735776</v>
      </c>
      <c r="H83" s="14">
        <f t="shared" si="7"/>
        <v>17.8</v>
      </c>
      <c r="I83" s="6"/>
      <c r="J83" s="6">
        <f t="shared" si="8"/>
        <v>17.8</v>
      </c>
      <c r="K83" s="13">
        <f t="shared" si="30"/>
        <v>91.85</v>
      </c>
      <c r="L83" s="13">
        <f t="shared" si="31"/>
        <v>101.25</v>
      </c>
      <c r="M83" s="15">
        <f t="shared" si="9"/>
        <v>89</v>
      </c>
      <c r="N83" s="13">
        <f t="shared" ref="N83:O83" si="186">M83*0.8</f>
        <v>71.2</v>
      </c>
      <c r="O83" s="13">
        <f t="shared" si="186"/>
        <v>56.96</v>
      </c>
      <c r="P83" s="6">
        <f t="shared" si="11"/>
        <v>80</v>
      </c>
      <c r="Q83" s="13">
        <f t="shared" si="12"/>
        <v>80</v>
      </c>
      <c r="R83" s="13">
        <f t="shared" si="13"/>
        <v>80</v>
      </c>
      <c r="S83" s="13">
        <f t="shared" si="14"/>
        <v>80</v>
      </c>
      <c r="T83" s="13">
        <f t="shared" si="15"/>
        <v>82</v>
      </c>
      <c r="U83" s="13">
        <f t="shared" si="16"/>
        <v>94.3</v>
      </c>
      <c r="V83" s="16">
        <f t="shared" si="17"/>
        <v>164</v>
      </c>
      <c r="X83" s="7">
        <f t="shared" si="18"/>
        <v>71</v>
      </c>
      <c r="Y83" s="17" t="s">
        <v>39</v>
      </c>
      <c r="Z83" s="17" t="s">
        <v>39</v>
      </c>
      <c r="AA83" s="15">
        <f t="shared" si="19"/>
        <v>197.5</v>
      </c>
      <c r="AB83" s="15">
        <f t="shared" si="20"/>
        <v>20</v>
      </c>
      <c r="AC83" s="18">
        <f t="shared" si="21"/>
        <v>2</v>
      </c>
      <c r="AD83" s="13">
        <f t="shared" si="22"/>
        <v>0.8</v>
      </c>
      <c r="AE83" s="13">
        <f t="shared" si="23"/>
        <v>1.142857143</v>
      </c>
      <c r="AF83" s="13">
        <f t="shared" si="24"/>
        <v>22</v>
      </c>
      <c r="AG83" s="13">
        <f t="shared" si="25"/>
        <v>12.57142857</v>
      </c>
      <c r="AH83" s="13">
        <f t="shared" si="26"/>
        <v>8.8</v>
      </c>
      <c r="AI83" s="6">
        <v>1.0</v>
      </c>
      <c r="AJ83" s="6">
        <v>1.0</v>
      </c>
      <c r="AK83" s="13">
        <f t="shared" si="27"/>
        <v>0.775</v>
      </c>
      <c r="AL83" s="16">
        <f t="shared" si="28"/>
        <v>0.775</v>
      </c>
    </row>
    <row r="84">
      <c r="A84" s="19"/>
      <c r="B84" s="5">
        <v>80.0</v>
      </c>
      <c r="C84" s="6">
        <f t="shared" si="3"/>
        <v>13.75781607</v>
      </c>
      <c r="D84" s="6">
        <f t="shared" si="4"/>
        <v>43.02444487</v>
      </c>
      <c r="E84" s="13">
        <f t="shared" ref="E84:F84" si="187">D84*1.25</f>
        <v>53.78055609</v>
      </c>
      <c r="F84" s="13">
        <f t="shared" si="187"/>
        <v>67.22569511</v>
      </c>
      <c r="G84" s="13">
        <f t="shared" si="6"/>
        <v>100.8385427</v>
      </c>
      <c r="H84" s="14">
        <f t="shared" si="7"/>
        <v>18</v>
      </c>
      <c r="I84" s="6"/>
      <c r="J84" s="6">
        <f t="shared" si="8"/>
        <v>18</v>
      </c>
      <c r="K84" s="13">
        <f t="shared" si="30"/>
        <v>93</v>
      </c>
      <c r="L84" s="13">
        <f t="shared" si="31"/>
        <v>102.5</v>
      </c>
      <c r="M84" s="15">
        <f t="shared" si="9"/>
        <v>90</v>
      </c>
      <c r="N84" s="13">
        <f t="shared" ref="N84:O84" si="188">M84*0.8</f>
        <v>72</v>
      </c>
      <c r="O84" s="13">
        <f t="shared" si="188"/>
        <v>57.6</v>
      </c>
      <c r="P84" s="6">
        <f t="shared" si="11"/>
        <v>81</v>
      </c>
      <c r="Q84" s="13">
        <f t="shared" si="12"/>
        <v>81</v>
      </c>
      <c r="R84" s="13">
        <f t="shared" si="13"/>
        <v>81</v>
      </c>
      <c r="S84" s="13">
        <f t="shared" si="14"/>
        <v>81</v>
      </c>
      <c r="T84" s="13">
        <f t="shared" si="15"/>
        <v>83</v>
      </c>
      <c r="U84" s="13">
        <f t="shared" si="16"/>
        <v>95.45</v>
      </c>
      <c r="V84" s="16">
        <f t="shared" si="17"/>
        <v>166</v>
      </c>
      <c r="X84" s="7">
        <f t="shared" si="18"/>
        <v>70</v>
      </c>
      <c r="Y84" s="17" t="s">
        <v>39</v>
      </c>
      <c r="Z84" s="17" t="s">
        <v>39</v>
      </c>
      <c r="AA84" s="15">
        <f t="shared" si="19"/>
        <v>200</v>
      </c>
      <c r="AB84" s="15">
        <f t="shared" si="20"/>
        <v>20.25</v>
      </c>
      <c r="AC84" s="18">
        <f t="shared" si="21"/>
        <v>2</v>
      </c>
      <c r="AD84" s="13">
        <f t="shared" si="22"/>
        <v>0.8</v>
      </c>
      <c r="AE84" s="13">
        <f t="shared" si="23"/>
        <v>1.142857143</v>
      </c>
      <c r="AF84" s="13">
        <f t="shared" si="24"/>
        <v>21</v>
      </c>
      <c r="AG84" s="13">
        <f t="shared" si="25"/>
        <v>12</v>
      </c>
      <c r="AH84" s="13">
        <f t="shared" si="26"/>
        <v>8.4</v>
      </c>
      <c r="AI84" s="6">
        <v>1.0</v>
      </c>
      <c r="AJ84" s="6">
        <v>1.0</v>
      </c>
      <c r="AK84" s="13">
        <f t="shared" si="27"/>
        <v>0.75</v>
      </c>
      <c r="AL84" s="16">
        <f t="shared" si="28"/>
        <v>0.75</v>
      </c>
    </row>
    <row r="85">
      <c r="A85" s="19"/>
      <c r="B85" s="5">
        <v>81.0</v>
      </c>
      <c r="C85" s="6">
        <f t="shared" si="3"/>
        <v>13.92353877</v>
      </c>
      <c r="D85" s="6">
        <f t="shared" si="4"/>
        <v>43.54975043</v>
      </c>
      <c r="E85" s="13">
        <f t="shared" ref="E85:F85" si="189">D85*1.25</f>
        <v>54.43718804</v>
      </c>
      <c r="F85" s="13">
        <f t="shared" si="189"/>
        <v>68.04648505</v>
      </c>
      <c r="G85" s="13">
        <f t="shared" si="6"/>
        <v>102.0697276</v>
      </c>
      <c r="H85" s="14">
        <f t="shared" si="7"/>
        <v>18.2</v>
      </c>
      <c r="I85" s="6"/>
      <c r="J85" s="6">
        <f t="shared" si="8"/>
        <v>18.2</v>
      </c>
      <c r="K85" s="13">
        <f t="shared" si="30"/>
        <v>94.15</v>
      </c>
      <c r="L85" s="13">
        <f t="shared" si="31"/>
        <v>103.75</v>
      </c>
      <c r="M85" s="15">
        <f t="shared" si="9"/>
        <v>91</v>
      </c>
      <c r="N85" s="13">
        <f t="shared" ref="N85:O85" si="190">M85*0.8</f>
        <v>72.8</v>
      </c>
      <c r="O85" s="13">
        <f t="shared" si="190"/>
        <v>58.24</v>
      </c>
      <c r="P85" s="6">
        <f t="shared" si="11"/>
        <v>82</v>
      </c>
      <c r="Q85" s="13">
        <f t="shared" si="12"/>
        <v>82</v>
      </c>
      <c r="R85" s="13">
        <f t="shared" si="13"/>
        <v>82</v>
      </c>
      <c r="S85" s="13">
        <f t="shared" si="14"/>
        <v>82</v>
      </c>
      <c r="T85" s="13">
        <f t="shared" si="15"/>
        <v>84</v>
      </c>
      <c r="U85" s="13">
        <f t="shared" si="16"/>
        <v>96.6</v>
      </c>
      <c r="V85" s="16">
        <f t="shared" si="17"/>
        <v>168</v>
      </c>
      <c r="X85" s="7">
        <f t="shared" si="18"/>
        <v>69</v>
      </c>
      <c r="Y85" s="17" t="s">
        <v>39</v>
      </c>
      <c r="Z85" s="17" t="s">
        <v>39</v>
      </c>
      <c r="AA85" s="15">
        <f t="shared" si="19"/>
        <v>202.5</v>
      </c>
      <c r="AB85" s="15">
        <f t="shared" si="20"/>
        <v>20.5</v>
      </c>
      <c r="AC85" s="18">
        <f t="shared" si="21"/>
        <v>2</v>
      </c>
      <c r="AD85" s="13">
        <f t="shared" si="22"/>
        <v>0.8</v>
      </c>
      <c r="AE85" s="13">
        <f t="shared" si="23"/>
        <v>1.142857143</v>
      </c>
      <c r="AF85" s="13">
        <f t="shared" si="24"/>
        <v>20</v>
      </c>
      <c r="AG85" s="13">
        <f t="shared" si="25"/>
        <v>11.42857143</v>
      </c>
      <c r="AH85" s="13">
        <f t="shared" si="26"/>
        <v>8</v>
      </c>
      <c r="AI85" s="6">
        <v>1.0</v>
      </c>
      <c r="AJ85" s="6">
        <v>1.0</v>
      </c>
      <c r="AK85" s="13">
        <f t="shared" si="27"/>
        <v>0.725</v>
      </c>
      <c r="AL85" s="16">
        <f t="shared" si="28"/>
        <v>0.725</v>
      </c>
    </row>
    <row r="86">
      <c r="A86" s="19"/>
      <c r="B86" s="5">
        <v>82.0</v>
      </c>
      <c r="C86" s="6">
        <f t="shared" si="3"/>
        <v>14.08926147</v>
      </c>
      <c r="D86" s="6">
        <f t="shared" si="4"/>
        <v>44.07505599</v>
      </c>
      <c r="E86" s="13">
        <f t="shared" ref="E86:F86" si="191">D86*1.25</f>
        <v>55.09381999</v>
      </c>
      <c r="F86" s="13">
        <f t="shared" si="191"/>
        <v>68.86727499</v>
      </c>
      <c r="G86" s="13">
        <f t="shared" si="6"/>
        <v>103.3009125</v>
      </c>
      <c r="H86" s="14">
        <f t="shared" si="7"/>
        <v>18.4</v>
      </c>
      <c r="I86" s="6"/>
      <c r="J86" s="6">
        <f t="shared" si="8"/>
        <v>18.4</v>
      </c>
      <c r="K86" s="13">
        <f t="shared" si="30"/>
        <v>95.3</v>
      </c>
      <c r="L86" s="13">
        <f t="shared" si="31"/>
        <v>105</v>
      </c>
      <c r="M86" s="15">
        <f t="shared" si="9"/>
        <v>92</v>
      </c>
      <c r="N86" s="13">
        <f t="shared" ref="N86:O86" si="192">M86*0.8</f>
        <v>73.6</v>
      </c>
      <c r="O86" s="13">
        <f t="shared" si="192"/>
        <v>58.88</v>
      </c>
      <c r="P86" s="6">
        <f t="shared" si="11"/>
        <v>83</v>
      </c>
      <c r="Q86" s="13">
        <f t="shared" si="12"/>
        <v>83</v>
      </c>
      <c r="R86" s="13">
        <f t="shared" si="13"/>
        <v>83</v>
      </c>
      <c r="S86" s="13">
        <f t="shared" si="14"/>
        <v>83</v>
      </c>
      <c r="T86" s="13">
        <f t="shared" si="15"/>
        <v>85</v>
      </c>
      <c r="U86" s="13">
        <f t="shared" si="16"/>
        <v>97.75</v>
      </c>
      <c r="V86" s="16">
        <f t="shared" si="17"/>
        <v>170</v>
      </c>
      <c r="X86" s="7">
        <f t="shared" si="18"/>
        <v>68</v>
      </c>
      <c r="Y86" s="17" t="s">
        <v>39</v>
      </c>
      <c r="Z86" s="17" t="s">
        <v>39</v>
      </c>
      <c r="AA86" s="15">
        <f t="shared" si="19"/>
        <v>205</v>
      </c>
      <c r="AB86" s="15">
        <f t="shared" si="20"/>
        <v>20.75</v>
      </c>
      <c r="AC86" s="18">
        <f t="shared" si="21"/>
        <v>2</v>
      </c>
      <c r="AD86" s="13">
        <f t="shared" si="22"/>
        <v>0.8</v>
      </c>
      <c r="AE86" s="13">
        <f t="shared" si="23"/>
        <v>1.142857143</v>
      </c>
      <c r="AF86" s="13">
        <f t="shared" si="24"/>
        <v>19</v>
      </c>
      <c r="AG86" s="13">
        <f t="shared" si="25"/>
        <v>10.85714286</v>
      </c>
      <c r="AH86" s="13">
        <f t="shared" si="26"/>
        <v>7.6</v>
      </c>
      <c r="AI86" s="6">
        <v>1.0</v>
      </c>
      <c r="AJ86" s="6">
        <v>1.0</v>
      </c>
      <c r="AK86" s="13">
        <f t="shared" si="27"/>
        <v>0.7</v>
      </c>
      <c r="AL86" s="16">
        <f t="shared" si="28"/>
        <v>0.7</v>
      </c>
    </row>
    <row r="87">
      <c r="A87" s="19"/>
      <c r="B87" s="5">
        <v>83.0</v>
      </c>
      <c r="C87" s="6">
        <f t="shared" si="3"/>
        <v>14.25498417</v>
      </c>
      <c r="D87" s="6">
        <f t="shared" si="4"/>
        <v>44.60036155</v>
      </c>
      <c r="E87" s="13">
        <f t="shared" ref="E87:F87" si="193">D87*1.25</f>
        <v>55.75045194</v>
      </c>
      <c r="F87" s="13">
        <f t="shared" si="193"/>
        <v>69.68806493</v>
      </c>
      <c r="G87" s="13">
        <f t="shared" si="6"/>
        <v>104.5320974</v>
      </c>
      <c r="H87" s="14">
        <f t="shared" si="7"/>
        <v>18.6</v>
      </c>
      <c r="I87" s="6"/>
      <c r="J87" s="6">
        <f t="shared" si="8"/>
        <v>18.6</v>
      </c>
      <c r="K87" s="13">
        <f t="shared" si="30"/>
        <v>96.45</v>
      </c>
      <c r="L87" s="13">
        <f t="shared" si="31"/>
        <v>106.25</v>
      </c>
      <c r="M87" s="15">
        <f t="shared" si="9"/>
        <v>93</v>
      </c>
      <c r="N87" s="13">
        <f t="shared" ref="N87:O87" si="194">M87*0.8</f>
        <v>74.4</v>
      </c>
      <c r="O87" s="13">
        <f t="shared" si="194"/>
        <v>59.52</v>
      </c>
      <c r="P87" s="6">
        <f t="shared" si="11"/>
        <v>84</v>
      </c>
      <c r="Q87" s="13">
        <f t="shared" si="12"/>
        <v>84</v>
      </c>
      <c r="R87" s="13">
        <f t="shared" si="13"/>
        <v>84</v>
      </c>
      <c r="S87" s="13">
        <f t="shared" si="14"/>
        <v>84</v>
      </c>
      <c r="T87" s="13">
        <f t="shared" si="15"/>
        <v>86</v>
      </c>
      <c r="U87" s="13">
        <f t="shared" si="16"/>
        <v>98.9</v>
      </c>
      <c r="V87" s="16">
        <f t="shared" si="17"/>
        <v>172</v>
      </c>
      <c r="X87" s="7">
        <f t="shared" si="18"/>
        <v>67</v>
      </c>
      <c r="Y87" s="17" t="s">
        <v>39</v>
      </c>
      <c r="Z87" s="17" t="s">
        <v>39</v>
      </c>
      <c r="AA87" s="15">
        <f t="shared" si="19"/>
        <v>207.5</v>
      </c>
      <c r="AB87" s="15">
        <f t="shared" si="20"/>
        <v>21</v>
      </c>
      <c r="AC87" s="18">
        <f t="shared" si="21"/>
        <v>2</v>
      </c>
      <c r="AD87" s="13">
        <f t="shared" si="22"/>
        <v>0.8</v>
      </c>
      <c r="AE87" s="13">
        <f t="shared" si="23"/>
        <v>1.142857143</v>
      </c>
      <c r="AF87" s="13">
        <f t="shared" si="24"/>
        <v>18</v>
      </c>
      <c r="AG87" s="13">
        <f t="shared" si="25"/>
        <v>10.28571429</v>
      </c>
      <c r="AH87" s="13">
        <f t="shared" si="26"/>
        <v>7.2</v>
      </c>
      <c r="AI87" s="6">
        <v>1.0</v>
      </c>
      <c r="AJ87" s="6">
        <v>1.0</v>
      </c>
      <c r="AK87" s="13">
        <f t="shared" si="27"/>
        <v>0.675</v>
      </c>
      <c r="AL87" s="16">
        <f t="shared" si="28"/>
        <v>0.675</v>
      </c>
    </row>
    <row r="88">
      <c r="A88" s="19"/>
      <c r="B88" s="5">
        <v>84.0</v>
      </c>
      <c r="C88" s="6">
        <f t="shared" si="3"/>
        <v>14.42070687</v>
      </c>
      <c r="D88" s="6">
        <f t="shared" si="4"/>
        <v>45.12566711</v>
      </c>
      <c r="E88" s="13">
        <f t="shared" ref="E88:F88" si="195">D88*1.25</f>
        <v>56.40708389</v>
      </c>
      <c r="F88" s="13">
        <f t="shared" si="195"/>
        <v>70.50885487</v>
      </c>
      <c r="G88" s="13">
        <f t="shared" si="6"/>
        <v>105.7632823</v>
      </c>
      <c r="H88" s="14">
        <f t="shared" si="7"/>
        <v>18.8</v>
      </c>
      <c r="I88" s="6"/>
      <c r="J88" s="6">
        <f t="shared" si="8"/>
        <v>18.8</v>
      </c>
      <c r="K88" s="13">
        <f t="shared" si="30"/>
        <v>97.6</v>
      </c>
      <c r="L88" s="13">
        <f t="shared" si="31"/>
        <v>107.5</v>
      </c>
      <c r="M88" s="15">
        <f t="shared" si="9"/>
        <v>94</v>
      </c>
      <c r="N88" s="13">
        <f t="shared" ref="N88:O88" si="196">M88*0.8</f>
        <v>75.2</v>
      </c>
      <c r="O88" s="13">
        <f t="shared" si="196"/>
        <v>60.16</v>
      </c>
      <c r="P88" s="6">
        <f t="shared" si="11"/>
        <v>85</v>
      </c>
      <c r="Q88" s="13">
        <f t="shared" si="12"/>
        <v>85</v>
      </c>
      <c r="R88" s="13">
        <f t="shared" si="13"/>
        <v>85</v>
      </c>
      <c r="S88" s="13">
        <f t="shared" si="14"/>
        <v>85</v>
      </c>
      <c r="T88" s="13">
        <f t="shared" si="15"/>
        <v>87</v>
      </c>
      <c r="U88" s="13">
        <f t="shared" si="16"/>
        <v>100.05</v>
      </c>
      <c r="V88" s="16">
        <f t="shared" si="17"/>
        <v>174</v>
      </c>
      <c r="X88" s="7">
        <f t="shared" si="18"/>
        <v>66</v>
      </c>
      <c r="Y88" s="17" t="s">
        <v>39</v>
      </c>
      <c r="Z88" s="17" t="s">
        <v>39</v>
      </c>
      <c r="AA88" s="15">
        <f t="shared" si="19"/>
        <v>210</v>
      </c>
      <c r="AB88" s="15">
        <f t="shared" si="20"/>
        <v>21.25</v>
      </c>
      <c r="AC88" s="18">
        <f t="shared" si="21"/>
        <v>2</v>
      </c>
      <c r="AD88" s="13">
        <f t="shared" si="22"/>
        <v>0.8</v>
      </c>
      <c r="AE88" s="13">
        <f t="shared" si="23"/>
        <v>1.142857143</v>
      </c>
      <c r="AF88" s="13">
        <f t="shared" si="24"/>
        <v>17</v>
      </c>
      <c r="AG88" s="13">
        <f t="shared" si="25"/>
        <v>9.714285714</v>
      </c>
      <c r="AH88" s="13">
        <f t="shared" si="26"/>
        <v>6.8</v>
      </c>
      <c r="AI88" s="6">
        <v>1.0</v>
      </c>
      <c r="AJ88" s="6">
        <v>1.0</v>
      </c>
      <c r="AK88" s="13">
        <f t="shared" si="27"/>
        <v>0.65</v>
      </c>
      <c r="AL88" s="16">
        <f t="shared" si="28"/>
        <v>0.65</v>
      </c>
    </row>
    <row r="89">
      <c r="A89" s="19"/>
      <c r="B89" s="5">
        <v>85.0</v>
      </c>
      <c r="C89" s="6">
        <f t="shared" si="3"/>
        <v>14.58642957</v>
      </c>
      <c r="D89" s="6">
        <f t="shared" si="4"/>
        <v>45.65097267</v>
      </c>
      <c r="E89" s="13">
        <f t="shared" ref="E89:F89" si="197">D89*1.25</f>
        <v>57.06371584</v>
      </c>
      <c r="F89" s="13">
        <f t="shared" si="197"/>
        <v>71.3296448</v>
      </c>
      <c r="G89" s="13">
        <f t="shared" si="6"/>
        <v>106.9944672</v>
      </c>
      <c r="H89" s="14">
        <f t="shared" si="7"/>
        <v>19</v>
      </c>
      <c r="I89" s="6"/>
      <c r="J89" s="6">
        <f t="shared" si="8"/>
        <v>19</v>
      </c>
      <c r="K89" s="13">
        <f t="shared" si="30"/>
        <v>98.75</v>
      </c>
      <c r="L89" s="13">
        <f t="shared" si="31"/>
        <v>108.75</v>
      </c>
      <c r="M89" s="15">
        <f t="shared" si="9"/>
        <v>95</v>
      </c>
      <c r="N89" s="13">
        <f t="shared" ref="N89:O89" si="198">M89*0.8</f>
        <v>76</v>
      </c>
      <c r="O89" s="13">
        <f t="shared" si="198"/>
        <v>60.8</v>
      </c>
      <c r="P89" s="6">
        <f t="shared" si="11"/>
        <v>86</v>
      </c>
      <c r="Q89" s="13">
        <f t="shared" si="12"/>
        <v>86</v>
      </c>
      <c r="R89" s="13">
        <f t="shared" si="13"/>
        <v>86</v>
      </c>
      <c r="S89" s="13">
        <f t="shared" si="14"/>
        <v>86</v>
      </c>
      <c r="T89" s="13">
        <f t="shared" si="15"/>
        <v>88</v>
      </c>
      <c r="U89" s="13">
        <f t="shared" si="16"/>
        <v>101.2</v>
      </c>
      <c r="V89" s="16">
        <f t="shared" si="17"/>
        <v>176</v>
      </c>
      <c r="X89" s="7">
        <f t="shared" si="18"/>
        <v>65</v>
      </c>
      <c r="Y89" s="17" t="s">
        <v>39</v>
      </c>
      <c r="Z89" s="17" t="s">
        <v>39</v>
      </c>
      <c r="AA89" s="15">
        <f t="shared" si="19"/>
        <v>212.5</v>
      </c>
      <c r="AB89" s="15">
        <f t="shared" si="20"/>
        <v>21.5</v>
      </c>
      <c r="AC89" s="18">
        <f t="shared" si="21"/>
        <v>2</v>
      </c>
      <c r="AD89" s="13">
        <f t="shared" si="22"/>
        <v>0.8</v>
      </c>
      <c r="AE89" s="13">
        <f t="shared" si="23"/>
        <v>1.142857143</v>
      </c>
      <c r="AF89" s="13">
        <f t="shared" si="24"/>
        <v>16</v>
      </c>
      <c r="AG89" s="13">
        <f t="shared" si="25"/>
        <v>9.142857143</v>
      </c>
      <c r="AH89" s="13">
        <f t="shared" si="26"/>
        <v>6.4</v>
      </c>
      <c r="AI89" s="6">
        <v>1.0</v>
      </c>
      <c r="AJ89" s="6">
        <v>1.0</v>
      </c>
      <c r="AK89" s="13">
        <f t="shared" si="27"/>
        <v>0.625</v>
      </c>
      <c r="AL89" s="16">
        <f t="shared" si="28"/>
        <v>0.625</v>
      </c>
    </row>
    <row r="90">
      <c r="A90" s="19"/>
      <c r="B90" s="5">
        <v>86.0</v>
      </c>
      <c r="C90" s="6">
        <f t="shared" si="3"/>
        <v>14.75215227</v>
      </c>
      <c r="D90" s="6">
        <f t="shared" si="4"/>
        <v>46.17627824</v>
      </c>
      <c r="E90" s="13">
        <f t="shared" ref="E90:F90" si="199">D90*1.25</f>
        <v>57.72034779</v>
      </c>
      <c r="F90" s="13">
        <f t="shared" si="199"/>
        <v>72.15043474</v>
      </c>
      <c r="G90" s="13">
        <f t="shared" si="6"/>
        <v>108.2256521</v>
      </c>
      <c r="H90" s="14">
        <f t="shared" si="7"/>
        <v>19.2</v>
      </c>
      <c r="I90" s="6"/>
      <c r="J90" s="6">
        <f t="shared" si="8"/>
        <v>19.2</v>
      </c>
      <c r="K90" s="13">
        <f t="shared" si="30"/>
        <v>99.9</v>
      </c>
      <c r="L90" s="13">
        <f t="shared" si="31"/>
        <v>110</v>
      </c>
      <c r="M90" s="15">
        <f t="shared" si="9"/>
        <v>96</v>
      </c>
      <c r="N90" s="13">
        <f t="shared" ref="N90:O90" si="200">M90*0.8</f>
        <v>76.8</v>
      </c>
      <c r="O90" s="13">
        <f t="shared" si="200"/>
        <v>61.44</v>
      </c>
      <c r="P90" s="6">
        <f t="shared" si="11"/>
        <v>87</v>
      </c>
      <c r="Q90" s="13">
        <f t="shared" si="12"/>
        <v>87</v>
      </c>
      <c r="R90" s="13">
        <f t="shared" si="13"/>
        <v>87</v>
      </c>
      <c r="S90" s="13">
        <f t="shared" si="14"/>
        <v>87</v>
      </c>
      <c r="T90" s="13">
        <f t="shared" si="15"/>
        <v>89</v>
      </c>
      <c r="U90" s="13">
        <f t="shared" si="16"/>
        <v>102.35</v>
      </c>
      <c r="V90" s="16">
        <f t="shared" si="17"/>
        <v>178</v>
      </c>
      <c r="X90" s="7">
        <f t="shared" si="18"/>
        <v>64</v>
      </c>
      <c r="Y90" s="17" t="s">
        <v>39</v>
      </c>
      <c r="Z90" s="17" t="s">
        <v>39</v>
      </c>
      <c r="AA90" s="15">
        <f t="shared" si="19"/>
        <v>215</v>
      </c>
      <c r="AB90" s="15">
        <f t="shared" si="20"/>
        <v>21.75</v>
      </c>
      <c r="AC90" s="18">
        <f t="shared" si="21"/>
        <v>2</v>
      </c>
      <c r="AD90" s="13">
        <f t="shared" si="22"/>
        <v>0.8</v>
      </c>
      <c r="AE90" s="13">
        <f t="shared" si="23"/>
        <v>1.142857143</v>
      </c>
      <c r="AF90" s="13">
        <f t="shared" si="24"/>
        <v>15</v>
      </c>
      <c r="AG90" s="13">
        <f t="shared" si="25"/>
        <v>8.571428571</v>
      </c>
      <c r="AH90" s="13">
        <f t="shared" si="26"/>
        <v>6</v>
      </c>
      <c r="AI90" s="6">
        <v>1.0</v>
      </c>
      <c r="AJ90" s="6">
        <v>1.0</v>
      </c>
      <c r="AK90" s="13">
        <f t="shared" si="27"/>
        <v>0.6</v>
      </c>
      <c r="AL90" s="16">
        <f t="shared" si="28"/>
        <v>0.6</v>
      </c>
    </row>
    <row r="91">
      <c r="A91" s="19"/>
      <c r="B91" s="5">
        <v>87.0</v>
      </c>
      <c r="C91" s="6">
        <f t="shared" si="3"/>
        <v>14.91787498</v>
      </c>
      <c r="D91" s="6">
        <f t="shared" si="4"/>
        <v>46.7015838</v>
      </c>
      <c r="E91" s="13">
        <f t="shared" ref="E91:F91" si="201">D91*1.25</f>
        <v>58.37697975</v>
      </c>
      <c r="F91" s="13">
        <f t="shared" si="201"/>
        <v>72.97122468</v>
      </c>
      <c r="G91" s="13">
        <f t="shared" si="6"/>
        <v>109.456837</v>
      </c>
      <c r="H91" s="14">
        <f t="shared" si="7"/>
        <v>19.4</v>
      </c>
      <c r="I91" s="6"/>
      <c r="J91" s="6">
        <f t="shared" si="8"/>
        <v>19.4</v>
      </c>
      <c r="K91" s="13">
        <f t="shared" si="30"/>
        <v>101.05</v>
      </c>
      <c r="L91" s="13">
        <f t="shared" si="31"/>
        <v>111.25</v>
      </c>
      <c r="M91" s="15">
        <f t="shared" si="9"/>
        <v>97</v>
      </c>
      <c r="N91" s="13">
        <f t="shared" ref="N91:O91" si="202">M91*0.8</f>
        <v>77.6</v>
      </c>
      <c r="O91" s="13">
        <f t="shared" si="202"/>
        <v>62.08</v>
      </c>
      <c r="P91" s="6">
        <f t="shared" si="11"/>
        <v>88</v>
      </c>
      <c r="Q91" s="13">
        <f t="shared" si="12"/>
        <v>88</v>
      </c>
      <c r="R91" s="13">
        <f t="shared" si="13"/>
        <v>88</v>
      </c>
      <c r="S91" s="13">
        <f t="shared" si="14"/>
        <v>88</v>
      </c>
      <c r="T91" s="13">
        <f t="shared" si="15"/>
        <v>90</v>
      </c>
      <c r="U91" s="13">
        <f t="shared" si="16"/>
        <v>103.5</v>
      </c>
      <c r="V91" s="16">
        <f t="shared" si="17"/>
        <v>180</v>
      </c>
      <c r="X91" s="7">
        <f t="shared" si="18"/>
        <v>63</v>
      </c>
      <c r="Y91" s="17" t="s">
        <v>39</v>
      </c>
      <c r="Z91" s="17" t="s">
        <v>39</v>
      </c>
      <c r="AA91" s="15">
        <f t="shared" si="19"/>
        <v>217.5</v>
      </c>
      <c r="AB91" s="15">
        <f t="shared" si="20"/>
        <v>22</v>
      </c>
      <c r="AC91" s="18">
        <f t="shared" si="21"/>
        <v>2</v>
      </c>
      <c r="AD91" s="13">
        <f t="shared" si="22"/>
        <v>0.8</v>
      </c>
      <c r="AE91" s="13">
        <f t="shared" si="23"/>
        <v>1.142857143</v>
      </c>
      <c r="AF91" s="13">
        <f t="shared" si="24"/>
        <v>14</v>
      </c>
      <c r="AG91" s="13">
        <f t="shared" si="25"/>
        <v>8</v>
      </c>
      <c r="AH91" s="13">
        <f t="shared" si="26"/>
        <v>5.6</v>
      </c>
      <c r="AI91" s="6">
        <v>1.0</v>
      </c>
      <c r="AJ91" s="6">
        <v>1.0</v>
      </c>
      <c r="AK91" s="13">
        <f t="shared" si="27"/>
        <v>0.575</v>
      </c>
      <c r="AL91" s="16">
        <f t="shared" si="28"/>
        <v>0.575</v>
      </c>
    </row>
    <row r="92">
      <c r="A92" s="19"/>
      <c r="B92" s="5">
        <v>88.0</v>
      </c>
      <c r="C92" s="6">
        <f t="shared" si="3"/>
        <v>15.08359768</v>
      </c>
      <c r="D92" s="6">
        <f t="shared" si="4"/>
        <v>47.22688936</v>
      </c>
      <c r="E92" s="13">
        <f t="shared" ref="E92:F92" si="203">D92*1.25</f>
        <v>59.0336117</v>
      </c>
      <c r="F92" s="13">
        <f t="shared" si="203"/>
        <v>73.79201462</v>
      </c>
      <c r="G92" s="13">
        <f t="shared" si="6"/>
        <v>110.6880219</v>
      </c>
      <c r="H92" s="14">
        <f t="shared" si="7"/>
        <v>19.6</v>
      </c>
      <c r="I92" s="6"/>
      <c r="J92" s="6">
        <f t="shared" si="8"/>
        <v>19.6</v>
      </c>
      <c r="K92" s="13">
        <f t="shared" si="30"/>
        <v>102.2</v>
      </c>
      <c r="L92" s="13">
        <f t="shared" si="31"/>
        <v>112.5</v>
      </c>
      <c r="M92" s="15">
        <f t="shared" si="9"/>
        <v>98</v>
      </c>
      <c r="N92" s="13">
        <f t="shared" ref="N92:O92" si="204">M92*0.8</f>
        <v>78.4</v>
      </c>
      <c r="O92" s="13">
        <f t="shared" si="204"/>
        <v>62.72</v>
      </c>
      <c r="P92" s="6">
        <f t="shared" si="11"/>
        <v>89</v>
      </c>
      <c r="Q92" s="13">
        <f t="shared" si="12"/>
        <v>89</v>
      </c>
      <c r="R92" s="13">
        <f t="shared" si="13"/>
        <v>89</v>
      </c>
      <c r="S92" s="13">
        <f t="shared" si="14"/>
        <v>89</v>
      </c>
      <c r="T92" s="13">
        <f t="shared" si="15"/>
        <v>91</v>
      </c>
      <c r="U92" s="13">
        <f t="shared" si="16"/>
        <v>104.65</v>
      </c>
      <c r="V92" s="16">
        <f t="shared" si="17"/>
        <v>182</v>
      </c>
      <c r="X92" s="7">
        <f t="shared" si="18"/>
        <v>62</v>
      </c>
      <c r="Y92" s="17" t="s">
        <v>39</v>
      </c>
      <c r="Z92" s="17" t="s">
        <v>39</v>
      </c>
      <c r="AA92" s="15">
        <f t="shared" si="19"/>
        <v>220</v>
      </c>
      <c r="AB92" s="15">
        <f t="shared" si="20"/>
        <v>22.25</v>
      </c>
      <c r="AC92" s="18">
        <f t="shared" si="21"/>
        <v>2</v>
      </c>
      <c r="AD92" s="13">
        <f t="shared" si="22"/>
        <v>0.8</v>
      </c>
      <c r="AE92" s="13">
        <f t="shared" si="23"/>
        <v>1.142857143</v>
      </c>
      <c r="AF92" s="13">
        <f t="shared" si="24"/>
        <v>13</v>
      </c>
      <c r="AG92" s="13">
        <f t="shared" si="25"/>
        <v>7.428571429</v>
      </c>
      <c r="AH92" s="13">
        <f t="shared" si="26"/>
        <v>5.2</v>
      </c>
      <c r="AI92" s="6">
        <v>1.0</v>
      </c>
      <c r="AJ92" s="6">
        <v>1.0</v>
      </c>
      <c r="AK92" s="13">
        <f t="shared" si="27"/>
        <v>0.55</v>
      </c>
      <c r="AL92" s="16">
        <f t="shared" si="28"/>
        <v>0.55</v>
      </c>
    </row>
    <row r="93">
      <c r="A93" s="19"/>
      <c r="B93" s="5">
        <v>89.0</v>
      </c>
      <c r="C93" s="6">
        <f t="shared" si="3"/>
        <v>15.24932038</v>
      </c>
      <c r="D93" s="6">
        <f t="shared" si="4"/>
        <v>47.75219492</v>
      </c>
      <c r="E93" s="13">
        <f t="shared" ref="E93:F93" si="205">D93*1.25</f>
        <v>59.69024365</v>
      </c>
      <c r="F93" s="13">
        <f t="shared" si="205"/>
        <v>74.61280456</v>
      </c>
      <c r="G93" s="13">
        <f t="shared" si="6"/>
        <v>111.9192068</v>
      </c>
      <c r="H93" s="14">
        <f t="shared" si="7"/>
        <v>19.8</v>
      </c>
      <c r="I93" s="6"/>
      <c r="J93" s="6">
        <f t="shared" si="8"/>
        <v>19.8</v>
      </c>
      <c r="K93" s="13">
        <f t="shared" si="30"/>
        <v>103.35</v>
      </c>
      <c r="L93" s="13">
        <f t="shared" si="31"/>
        <v>113.75</v>
      </c>
      <c r="M93" s="15">
        <f t="shared" si="9"/>
        <v>99</v>
      </c>
      <c r="N93" s="13">
        <f t="shared" ref="N93:O93" si="206">M93*0.8</f>
        <v>79.2</v>
      </c>
      <c r="O93" s="13">
        <f t="shared" si="206"/>
        <v>63.36</v>
      </c>
      <c r="P93" s="6">
        <f t="shared" si="11"/>
        <v>90</v>
      </c>
      <c r="Q93" s="13">
        <f t="shared" si="12"/>
        <v>90</v>
      </c>
      <c r="R93" s="13">
        <f t="shared" si="13"/>
        <v>90</v>
      </c>
      <c r="S93" s="13">
        <f t="shared" si="14"/>
        <v>90</v>
      </c>
      <c r="T93" s="13">
        <f t="shared" si="15"/>
        <v>92</v>
      </c>
      <c r="U93" s="13">
        <f t="shared" si="16"/>
        <v>105.8</v>
      </c>
      <c r="V93" s="16">
        <f t="shared" si="17"/>
        <v>184</v>
      </c>
      <c r="X93" s="7">
        <f t="shared" si="18"/>
        <v>61</v>
      </c>
      <c r="Y93" s="17" t="s">
        <v>39</v>
      </c>
      <c r="Z93" s="17" t="s">
        <v>39</v>
      </c>
      <c r="AA93" s="15">
        <f t="shared" si="19"/>
        <v>222.5</v>
      </c>
      <c r="AB93" s="15">
        <f t="shared" si="20"/>
        <v>22.5</v>
      </c>
      <c r="AC93" s="18">
        <f t="shared" si="21"/>
        <v>2</v>
      </c>
      <c r="AD93" s="13">
        <f t="shared" si="22"/>
        <v>0.8</v>
      </c>
      <c r="AE93" s="13">
        <f t="shared" si="23"/>
        <v>1.142857143</v>
      </c>
      <c r="AF93" s="13">
        <f t="shared" si="24"/>
        <v>12</v>
      </c>
      <c r="AG93" s="13">
        <f t="shared" si="25"/>
        <v>6.857142857</v>
      </c>
      <c r="AH93" s="13">
        <f t="shared" si="26"/>
        <v>4.8</v>
      </c>
      <c r="AI93" s="6">
        <v>1.0</v>
      </c>
      <c r="AJ93" s="6">
        <v>1.0</v>
      </c>
      <c r="AK93" s="13">
        <f t="shared" si="27"/>
        <v>0.525</v>
      </c>
      <c r="AL93" s="16">
        <f t="shared" si="28"/>
        <v>0.525</v>
      </c>
    </row>
    <row r="94">
      <c r="A94" s="19"/>
      <c r="B94" s="5">
        <v>90.0</v>
      </c>
      <c r="C94" s="6">
        <f t="shared" si="3"/>
        <v>15.41504308</v>
      </c>
      <c r="D94" s="6">
        <f t="shared" si="4"/>
        <v>48.27750048</v>
      </c>
      <c r="E94" s="13">
        <f t="shared" ref="E94:F94" si="207">D94*1.25</f>
        <v>60.3468756</v>
      </c>
      <c r="F94" s="13">
        <f t="shared" si="207"/>
        <v>75.4335945</v>
      </c>
      <c r="G94" s="13">
        <f t="shared" si="6"/>
        <v>113.1503917</v>
      </c>
      <c r="H94" s="14">
        <f t="shared" si="7"/>
        <v>20</v>
      </c>
      <c r="I94" s="6"/>
      <c r="J94" s="6">
        <f t="shared" si="8"/>
        <v>20</v>
      </c>
      <c r="K94" s="13">
        <f t="shared" si="30"/>
        <v>104.5</v>
      </c>
      <c r="L94" s="13">
        <f t="shared" si="31"/>
        <v>115</v>
      </c>
      <c r="M94" s="15">
        <f t="shared" si="9"/>
        <v>100</v>
      </c>
      <c r="N94" s="13">
        <f t="shared" ref="N94:O94" si="208">M94*0.8</f>
        <v>80</v>
      </c>
      <c r="O94" s="13">
        <f t="shared" si="208"/>
        <v>64</v>
      </c>
      <c r="P94" s="6">
        <f t="shared" si="11"/>
        <v>91</v>
      </c>
      <c r="Q94" s="13">
        <f t="shared" si="12"/>
        <v>91</v>
      </c>
      <c r="R94" s="13">
        <f t="shared" si="13"/>
        <v>91</v>
      </c>
      <c r="S94" s="13">
        <f t="shared" si="14"/>
        <v>91</v>
      </c>
      <c r="T94" s="13">
        <f t="shared" si="15"/>
        <v>93</v>
      </c>
      <c r="U94" s="13">
        <f t="shared" si="16"/>
        <v>106.95</v>
      </c>
      <c r="V94" s="16">
        <f t="shared" si="17"/>
        <v>186</v>
      </c>
      <c r="X94" s="7">
        <f t="shared" si="18"/>
        <v>60</v>
      </c>
      <c r="Y94" s="17" t="s">
        <v>39</v>
      </c>
      <c r="Z94" s="17" t="s">
        <v>39</v>
      </c>
      <c r="AA94" s="15">
        <f t="shared" si="19"/>
        <v>225</v>
      </c>
      <c r="AB94" s="15">
        <f t="shared" si="20"/>
        <v>22.75</v>
      </c>
      <c r="AC94" s="18">
        <f t="shared" si="21"/>
        <v>2</v>
      </c>
      <c r="AD94" s="13">
        <f t="shared" si="22"/>
        <v>0.8</v>
      </c>
      <c r="AE94" s="13">
        <f t="shared" si="23"/>
        <v>1.142857143</v>
      </c>
      <c r="AF94" s="13">
        <f t="shared" si="24"/>
        <v>11</v>
      </c>
      <c r="AG94" s="13">
        <f t="shared" si="25"/>
        <v>6.285714286</v>
      </c>
      <c r="AH94" s="13">
        <f t="shared" si="26"/>
        <v>4.4</v>
      </c>
      <c r="AI94" s="6">
        <v>1.0</v>
      </c>
      <c r="AJ94" s="6">
        <v>1.0</v>
      </c>
      <c r="AK94" s="13">
        <f t="shared" si="27"/>
        <v>0.5</v>
      </c>
      <c r="AL94" s="16">
        <f t="shared" si="28"/>
        <v>0.5</v>
      </c>
    </row>
    <row r="95">
      <c r="A95" s="19"/>
      <c r="B95" s="5">
        <v>91.0</v>
      </c>
      <c r="C95" s="6">
        <f t="shared" si="3"/>
        <v>15.58076578</v>
      </c>
      <c r="D95" s="6">
        <f t="shared" si="4"/>
        <v>48.80280604</v>
      </c>
      <c r="E95" s="13">
        <f t="shared" ref="E95:F95" si="209">D95*1.25</f>
        <v>61.00350755</v>
      </c>
      <c r="F95" s="13">
        <f t="shared" si="209"/>
        <v>76.25438444</v>
      </c>
      <c r="G95" s="13">
        <f t="shared" si="6"/>
        <v>114.3815767</v>
      </c>
      <c r="H95" s="14">
        <f t="shared" si="7"/>
        <v>20.2</v>
      </c>
      <c r="I95" s="6"/>
      <c r="J95" s="6">
        <f t="shared" si="8"/>
        <v>20.2</v>
      </c>
      <c r="K95" s="13">
        <f t="shared" si="30"/>
        <v>105.65</v>
      </c>
      <c r="L95" s="13">
        <f t="shared" si="31"/>
        <v>116.25</v>
      </c>
      <c r="M95" s="15">
        <f t="shared" si="9"/>
        <v>101</v>
      </c>
      <c r="N95" s="13">
        <f t="shared" ref="N95:O95" si="210">M95*0.8</f>
        <v>80.8</v>
      </c>
      <c r="O95" s="13">
        <f t="shared" si="210"/>
        <v>64.64</v>
      </c>
      <c r="P95" s="6">
        <f t="shared" si="11"/>
        <v>92</v>
      </c>
      <c r="Q95" s="13">
        <f t="shared" si="12"/>
        <v>92</v>
      </c>
      <c r="R95" s="13">
        <f t="shared" si="13"/>
        <v>92</v>
      </c>
      <c r="S95" s="13">
        <f t="shared" si="14"/>
        <v>92</v>
      </c>
      <c r="T95" s="13">
        <f t="shared" si="15"/>
        <v>94</v>
      </c>
      <c r="U95" s="13">
        <f t="shared" si="16"/>
        <v>108.1</v>
      </c>
      <c r="V95" s="16">
        <f t="shared" si="17"/>
        <v>188</v>
      </c>
      <c r="X95" s="7">
        <f t="shared" si="18"/>
        <v>59</v>
      </c>
      <c r="Y95" s="17" t="s">
        <v>39</v>
      </c>
      <c r="Z95" s="17" t="s">
        <v>39</v>
      </c>
      <c r="AA95" s="15">
        <f t="shared" si="19"/>
        <v>227.5</v>
      </c>
      <c r="AB95" s="15">
        <f t="shared" si="20"/>
        <v>23</v>
      </c>
      <c r="AC95" s="18">
        <f t="shared" si="21"/>
        <v>2</v>
      </c>
      <c r="AD95" s="13">
        <f t="shared" si="22"/>
        <v>0.8</v>
      </c>
      <c r="AE95" s="13">
        <f t="shared" si="23"/>
        <v>1.142857143</v>
      </c>
      <c r="AF95" s="13">
        <f t="shared" si="24"/>
        <v>10</v>
      </c>
      <c r="AG95" s="13">
        <f t="shared" si="25"/>
        <v>5.714285714</v>
      </c>
      <c r="AH95" s="13">
        <f t="shared" si="26"/>
        <v>4</v>
      </c>
      <c r="AI95" s="6">
        <v>1.0</v>
      </c>
      <c r="AJ95" s="6">
        <v>1.0</v>
      </c>
      <c r="AK95" s="13">
        <f t="shared" si="27"/>
        <v>0.475</v>
      </c>
      <c r="AL95" s="16">
        <f t="shared" si="28"/>
        <v>0.475</v>
      </c>
    </row>
    <row r="96">
      <c r="A96" s="19"/>
      <c r="B96" s="5">
        <v>92.0</v>
      </c>
      <c r="C96" s="6">
        <f t="shared" si="3"/>
        <v>15.74648848</v>
      </c>
      <c r="D96" s="6">
        <f t="shared" si="4"/>
        <v>49.3281116</v>
      </c>
      <c r="E96" s="13">
        <f t="shared" ref="E96:F96" si="211">D96*1.25</f>
        <v>61.6601395</v>
      </c>
      <c r="F96" s="13">
        <f t="shared" si="211"/>
        <v>77.07517438</v>
      </c>
      <c r="G96" s="13">
        <f t="shared" si="6"/>
        <v>115.6127616</v>
      </c>
      <c r="H96" s="14">
        <f t="shared" si="7"/>
        <v>20.4</v>
      </c>
      <c r="I96" s="6"/>
      <c r="J96" s="6">
        <f t="shared" si="8"/>
        <v>20.4</v>
      </c>
      <c r="K96" s="13">
        <f t="shared" si="30"/>
        <v>106.8</v>
      </c>
      <c r="L96" s="13">
        <f t="shared" si="31"/>
        <v>117.5</v>
      </c>
      <c r="M96" s="15">
        <f t="shared" si="9"/>
        <v>102</v>
      </c>
      <c r="N96" s="13">
        <f t="shared" ref="N96:O96" si="212">M96*0.8</f>
        <v>81.6</v>
      </c>
      <c r="O96" s="13">
        <f t="shared" si="212"/>
        <v>65.28</v>
      </c>
      <c r="P96" s="6">
        <f t="shared" si="11"/>
        <v>93</v>
      </c>
      <c r="Q96" s="13">
        <f t="shared" si="12"/>
        <v>93</v>
      </c>
      <c r="R96" s="13">
        <f t="shared" si="13"/>
        <v>93</v>
      </c>
      <c r="S96" s="13">
        <f t="shared" si="14"/>
        <v>93</v>
      </c>
      <c r="T96" s="13">
        <f t="shared" si="15"/>
        <v>95</v>
      </c>
      <c r="U96" s="13">
        <f t="shared" si="16"/>
        <v>109.25</v>
      </c>
      <c r="V96" s="16">
        <f t="shared" si="17"/>
        <v>190</v>
      </c>
      <c r="X96" s="7">
        <f t="shared" si="18"/>
        <v>58</v>
      </c>
      <c r="Y96" s="17" t="s">
        <v>39</v>
      </c>
      <c r="Z96" s="17" t="s">
        <v>39</v>
      </c>
      <c r="AA96" s="15">
        <f t="shared" si="19"/>
        <v>230</v>
      </c>
      <c r="AB96" s="15">
        <f t="shared" si="20"/>
        <v>23.25</v>
      </c>
      <c r="AC96" s="18">
        <f t="shared" si="21"/>
        <v>2</v>
      </c>
      <c r="AD96" s="13">
        <f t="shared" si="22"/>
        <v>0.8</v>
      </c>
      <c r="AE96" s="13">
        <f t="shared" si="23"/>
        <v>1.142857143</v>
      </c>
      <c r="AF96" s="13">
        <f t="shared" si="24"/>
        <v>9</v>
      </c>
      <c r="AG96" s="13">
        <f t="shared" si="25"/>
        <v>5.142857143</v>
      </c>
      <c r="AH96" s="13">
        <f t="shared" si="26"/>
        <v>3.6</v>
      </c>
      <c r="AI96" s="6">
        <v>1.0</v>
      </c>
      <c r="AJ96" s="6">
        <v>1.0</v>
      </c>
      <c r="AK96" s="13">
        <f t="shared" si="27"/>
        <v>0.45</v>
      </c>
      <c r="AL96" s="16">
        <f t="shared" si="28"/>
        <v>0.45</v>
      </c>
    </row>
    <row r="97">
      <c r="A97" s="19"/>
      <c r="B97" s="5">
        <v>93.0</v>
      </c>
      <c r="C97" s="6">
        <f t="shared" si="3"/>
        <v>15.91221118</v>
      </c>
      <c r="D97" s="6">
        <f t="shared" si="4"/>
        <v>49.85341716</v>
      </c>
      <c r="E97" s="13">
        <f t="shared" ref="E97:F97" si="213">D97*1.25</f>
        <v>62.31677145</v>
      </c>
      <c r="F97" s="13">
        <f t="shared" si="213"/>
        <v>77.89596432</v>
      </c>
      <c r="G97" s="13">
        <f t="shared" si="6"/>
        <v>116.8439465</v>
      </c>
      <c r="H97" s="14">
        <f t="shared" si="7"/>
        <v>20.6</v>
      </c>
      <c r="I97" s="6"/>
      <c r="J97" s="6">
        <f t="shared" si="8"/>
        <v>20.6</v>
      </c>
      <c r="K97" s="13">
        <f t="shared" si="30"/>
        <v>107.95</v>
      </c>
      <c r="L97" s="13">
        <f t="shared" si="31"/>
        <v>118.75</v>
      </c>
      <c r="M97" s="15">
        <f t="shared" si="9"/>
        <v>103</v>
      </c>
      <c r="N97" s="13">
        <f t="shared" ref="N97:O97" si="214">M97*0.8</f>
        <v>82.4</v>
      </c>
      <c r="O97" s="13">
        <f t="shared" si="214"/>
        <v>65.92</v>
      </c>
      <c r="P97" s="6">
        <f t="shared" si="11"/>
        <v>94</v>
      </c>
      <c r="Q97" s="13">
        <f t="shared" si="12"/>
        <v>94</v>
      </c>
      <c r="R97" s="13">
        <f t="shared" si="13"/>
        <v>94</v>
      </c>
      <c r="S97" s="13">
        <f t="shared" si="14"/>
        <v>94</v>
      </c>
      <c r="T97" s="13">
        <f t="shared" si="15"/>
        <v>96</v>
      </c>
      <c r="U97" s="13">
        <f t="shared" si="16"/>
        <v>110.4</v>
      </c>
      <c r="V97" s="16">
        <f t="shared" si="17"/>
        <v>192</v>
      </c>
      <c r="X97" s="7">
        <f t="shared" si="18"/>
        <v>57</v>
      </c>
      <c r="Y97" s="17" t="s">
        <v>39</v>
      </c>
      <c r="Z97" s="17" t="s">
        <v>39</v>
      </c>
      <c r="AA97" s="15">
        <f t="shared" si="19"/>
        <v>232.5</v>
      </c>
      <c r="AB97" s="15">
        <f t="shared" si="20"/>
        <v>23.5</v>
      </c>
      <c r="AC97" s="18">
        <f t="shared" si="21"/>
        <v>2</v>
      </c>
      <c r="AD97" s="13">
        <f t="shared" si="22"/>
        <v>0.8</v>
      </c>
      <c r="AE97" s="13">
        <f t="shared" si="23"/>
        <v>1.142857143</v>
      </c>
      <c r="AF97" s="13">
        <f t="shared" si="24"/>
        <v>8</v>
      </c>
      <c r="AG97" s="13">
        <f t="shared" si="25"/>
        <v>4.571428571</v>
      </c>
      <c r="AH97" s="13">
        <f t="shared" si="26"/>
        <v>3.2</v>
      </c>
      <c r="AI97" s="6">
        <v>1.0</v>
      </c>
      <c r="AJ97" s="6">
        <v>1.0</v>
      </c>
      <c r="AK97" s="13">
        <f t="shared" si="27"/>
        <v>0.425</v>
      </c>
      <c r="AL97" s="16">
        <f t="shared" si="28"/>
        <v>0.425</v>
      </c>
    </row>
    <row r="98">
      <c r="A98" s="19"/>
      <c r="B98" s="5">
        <v>94.0</v>
      </c>
      <c r="C98" s="6">
        <f t="shared" si="3"/>
        <v>16.07793388</v>
      </c>
      <c r="D98" s="6">
        <f t="shared" si="4"/>
        <v>50.37872272</v>
      </c>
      <c r="E98" s="13">
        <f t="shared" ref="E98:F98" si="215">D98*1.25</f>
        <v>62.9734034</v>
      </c>
      <c r="F98" s="13">
        <f t="shared" si="215"/>
        <v>78.71675425</v>
      </c>
      <c r="G98" s="13">
        <f t="shared" si="6"/>
        <v>118.0751314</v>
      </c>
      <c r="H98" s="14">
        <f t="shared" si="7"/>
        <v>20.8</v>
      </c>
      <c r="I98" s="6"/>
      <c r="J98" s="6">
        <f t="shared" si="8"/>
        <v>20.8</v>
      </c>
      <c r="K98" s="13">
        <f t="shared" si="30"/>
        <v>109.1</v>
      </c>
      <c r="L98" s="13">
        <f t="shared" si="31"/>
        <v>120</v>
      </c>
      <c r="M98" s="15">
        <f t="shared" si="9"/>
        <v>104</v>
      </c>
      <c r="N98" s="13">
        <f t="shared" ref="N98:O98" si="216">M98*0.8</f>
        <v>83.2</v>
      </c>
      <c r="O98" s="13">
        <f t="shared" si="216"/>
        <v>66.56</v>
      </c>
      <c r="P98" s="6">
        <f t="shared" si="11"/>
        <v>95</v>
      </c>
      <c r="Q98" s="13">
        <f t="shared" si="12"/>
        <v>95</v>
      </c>
      <c r="R98" s="13">
        <f t="shared" si="13"/>
        <v>95</v>
      </c>
      <c r="S98" s="13">
        <f t="shared" si="14"/>
        <v>95</v>
      </c>
      <c r="T98" s="13">
        <f t="shared" si="15"/>
        <v>97</v>
      </c>
      <c r="U98" s="13">
        <f t="shared" si="16"/>
        <v>111.55</v>
      </c>
      <c r="V98" s="16">
        <f t="shared" si="17"/>
        <v>194</v>
      </c>
      <c r="X98" s="7">
        <f t="shared" si="18"/>
        <v>56</v>
      </c>
      <c r="Y98" s="17" t="s">
        <v>39</v>
      </c>
      <c r="Z98" s="17" t="s">
        <v>39</v>
      </c>
      <c r="AA98" s="15">
        <f t="shared" si="19"/>
        <v>235</v>
      </c>
      <c r="AB98" s="15">
        <f t="shared" si="20"/>
        <v>23.75</v>
      </c>
      <c r="AC98" s="18">
        <f t="shared" si="21"/>
        <v>2</v>
      </c>
      <c r="AD98" s="13">
        <f t="shared" si="22"/>
        <v>0.8</v>
      </c>
      <c r="AE98" s="13">
        <f t="shared" si="23"/>
        <v>1.142857143</v>
      </c>
      <c r="AF98" s="13">
        <f t="shared" si="24"/>
        <v>7</v>
      </c>
      <c r="AG98" s="13">
        <f t="shared" si="25"/>
        <v>4</v>
      </c>
      <c r="AH98" s="13">
        <f t="shared" si="26"/>
        <v>2.8</v>
      </c>
      <c r="AI98" s="6">
        <v>1.0</v>
      </c>
      <c r="AJ98" s="6">
        <v>1.0</v>
      </c>
      <c r="AK98" s="13">
        <f t="shared" si="27"/>
        <v>0.4</v>
      </c>
      <c r="AL98" s="16">
        <f t="shared" si="28"/>
        <v>0.4</v>
      </c>
    </row>
    <row r="99">
      <c r="A99" s="19"/>
      <c r="B99" s="5">
        <v>95.0</v>
      </c>
      <c r="C99" s="6">
        <f t="shared" si="3"/>
        <v>16.24365658</v>
      </c>
      <c r="D99" s="6">
        <f t="shared" si="4"/>
        <v>50.90402828</v>
      </c>
      <c r="E99" s="13">
        <f t="shared" ref="E99:F99" si="217">D99*1.25</f>
        <v>63.63003535</v>
      </c>
      <c r="F99" s="13">
        <f t="shared" si="217"/>
        <v>79.53754419</v>
      </c>
      <c r="G99" s="13">
        <f t="shared" si="6"/>
        <v>119.3063163</v>
      </c>
      <c r="H99" s="14">
        <f t="shared" si="7"/>
        <v>21</v>
      </c>
      <c r="I99" s="6"/>
      <c r="J99" s="6">
        <f t="shared" si="8"/>
        <v>21</v>
      </c>
      <c r="K99" s="13">
        <f t="shared" si="30"/>
        <v>110.25</v>
      </c>
      <c r="L99" s="13">
        <f t="shared" si="31"/>
        <v>121.25</v>
      </c>
      <c r="M99" s="15">
        <f t="shared" si="9"/>
        <v>105</v>
      </c>
      <c r="N99" s="13">
        <f t="shared" ref="N99:O99" si="218">M99*0.8</f>
        <v>84</v>
      </c>
      <c r="O99" s="13">
        <f t="shared" si="218"/>
        <v>67.2</v>
      </c>
      <c r="P99" s="6">
        <f t="shared" si="11"/>
        <v>96</v>
      </c>
      <c r="Q99" s="13">
        <f t="shared" si="12"/>
        <v>96</v>
      </c>
      <c r="R99" s="13">
        <f t="shared" si="13"/>
        <v>96</v>
      </c>
      <c r="S99" s="13">
        <f t="shared" si="14"/>
        <v>96</v>
      </c>
      <c r="T99" s="13">
        <f t="shared" si="15"/>
        <v>98</v>
      </c>
      <c r="U99" s="13">
        <f t="shared" si="16"/>
        <v>112.7</v>
      </c>
      <c r="V99" s="16">
        <f t="shared" si="17"/>
        <v>196</v>
      </c>
      <c r="X99" s="7">
        <f t="shared" si="18"/>
        <v>55</v>
      </c>
      <c r="Y99" s="17" t="s">
        <v>39</v>
      </c>
      <c r="Z99" s="17" t="s">
        <v>39</v>
      </c>
      <c r="AA99" s="15">
        <f t="shared" si="19"/>
        <v>237.5</v>
      </c>
      <c r="AB99" s="15">
        <f t="shared" si="20"/>
        <v>24</v>
      </c>
      <c r="AC99" s="18">
        <f t="shared" si="21"/>
        <v>2</v>
      </c>
      <c r="AD99" s="13">
        <f t="shared" si="22"/>
        <v>0.8</v>
      </c>
      <c r="AE99" s="13">
        <f t="shared" si="23"/>
        <v>1.142857143</v>
      </c>
      <c r="AF99" s="13">
        <f t="shared" si="24"/>
        <v>6</v>
      </c>
      <c r="AG99" s="13">
        <f t="shared" si="25"/>
        <v>3.428571429</v>
      </c>
      <c r="AH99" s="13">
        <f t="shared" si="26"/>
        <v>2.4</v>
      </c>
      <c r="AI99" s="6">
        <v>1.0</v>
      </c>
      <c r="AJ99" s="6">
        <v>1.0</v>
      </c>
      <c r="AK99" s="13">
        <f t="shared" si="27"/>
        <v>0.375</v>
      </c>
      <c r="AL99" s="16">
        <f t="shared" si="28"/>
        <v>0.375</v>
      </c>
    </row>
    <row r="100">
      <c r="A100" s="19"/>
      <c r="B100" s="5">
        <v>96.0</v>
      </c>
      <c r="C100" s="6">
        <f t="shared" si="3"/>
        <v>16.40937928</v>
      </c>
      <c r="D100" s="6">
        <f t="shared" si="4"/>
        <v>51.42933384</v>
      </c>
      <c r="E100" s="13">
        <f t="shared" ref="E100:F100" si="219">D100*1.25</f>
        <v>64.28666731</v>
      </c>
      <c r="F100" s="13">
        <f t="shared" si="219"/>
        <v>80.35833413</v>
      </c>
      <c r="G100" s="13">
        <f t="shared" si="6"/>
        <v>120.5375012</v>
      </c>
      <c r="H100" s="14">
        <f t="shared" si="7"/>
        <v>21.2</v>
      </c>
      <c r="I100" s="6"/>
      <c r="J100" s="6">
        <f t="shared" si="8"/>
        <v>21.2</v>
      </c>
      <c r="K100" s="13">
        <f t="shared" si="30"/>
        <v>111.4</v>
      </c>
      <c r="L100" s="13">
        <f t="shared" si="31"/>
        <v>122.5</v>
      </c>
      <c r="M100" s="15">
        <f t="shared" si="9"/>
        <v>106</v>
      </c>
      <c r="N100" s="13">
        <f t="shared" ref="N100:O100" si="220">M100*0.8</f>
        <v>84.8</v>
      </c>
      <c r="O100" s="13">
        <f t="shared" si="220"/>
        <v>67.84</v>
      </c>
      <c r="P100" s="6">
        <f t="shared" si="11"/>
        <v>97</v>
      </c>
      <c r="Q100" s="13">
        <f t="shared" si="12"/>
        <v>97</v>
      </c>
      <c r="R100" s="13">
        <f t="shared" si="13"/>
        <v>97</v>
      </c>
      <c r="S100" s="13">
        <f t="shared" si="14"/>
        <v>97</v>
      </c>
      <c r="T100" s="13">
        <f t="shared" si="15"/>
        <v>99</v>
      </c>
      <c r="U100" s="13">
        <f t="shared" si="16"/>
        <v>113.85</v>
      </c>
      <c r="V100" s="16">
        <f t="shared" si="17"/>
        <v>198</v>
      </c>
      <c r="X100" s="7">
        <f t="shared" si="18"/>
        <v>54</v>
      </c>
      <c r="Y100" s="17" t="s">
        <v>39</v>
      </c>
      <c r="Z100" s="17" t="s">
        <v>39</v>
      </c>
      <c r="AA100" s="15">
        <f t="shared" si="19"/>
        <v>240</v>
      </c>
      <c r="AB100" s="15">
        <f t="shared" si="20"/>
        <v>24.25</v>
      </c>
      <c r="AC100" s="18">
        <f t="shared" si="21"/>
        <v>2</v>
      </c>
      <c r="AD100" s="13">
        <f t="shared" si="22"/>
        <v>0.8</v>
      </c>
      <c r="AE100" s="13">
        <f t="shared" si="23"/>
        <v>1.142857143</v>
      </c>
      <c r="AF100" s="13">
        <f t="shared" si="24"/>
        <v>5</v>
      </c>
      <c r="AG100" s="13">
        <f t="shared" si="25"/>
        <v>2.857142857</v>
      </c>
      <c r="AH100" s="13">
        <f t="shared" si="26"/>
        <v>2</v>
      </c>
      <c r="AI100" s="6">
        <v>1.0</v>
      </c>
      <c r="AJ100" s="6">
        <v>1.0</v>
      </c>
      <c r="AK100" s="13">
        <f t="shared" si="27"/>
        <v>0.35</v>
      </c>
      <c r="AL100" s="16">
        <f t="shared" si="28"/>
        <v>0.35</v>
      </c>
    </row>
    <row r="101">
      <c r="A101" s="19"/>
      <c r="B101" s="5">
        <v>97.0</v>
      </c>
      <c r="C101" s="6">
        <f t="shared" si="3"/>
        <v>16.57510198</v>
      </c>
      <c r="D101" s="6">
        <f t="shared" si="4"/>
        <v>51.95463941</v>
      </c>
      <c r="E101" s="13">
        <f t="shared" ref="E101:F101" si="221">D101*1.25</f>
        <v>64.94329926</v>
      </c>
      <c r="F101" s="13">
        <f t="shared" si="221"/>
        <v>81.17912407</v>
      </c>
      <c r="G101" s="13">
        <f t="shared" si="6"/>
        <v>121.7686861</v>
      </c>
      <c r="H101" s="14">
        <f t="shared" si="7"/>
        <v>21.4</v>
      </c>
      <c r="I101" s="6"/>
      <c r="J101" s="6">
        <f t="shared" si="8"/>
        <v>21.4</v>
      </c>
      <c r="K101" s="13">
        <f t="shared" si="30"/>
        <v>112.55</v>
      </c>
      <c r="L101" s="13">
        <f t="shared" si="31"/>
        <v>123.75</v>
      </c>
      <c r="M101" s="15">
        <f t="shared" si="9"/>
        <v>107</v>
      </c>
      <c r="N101" s="13">
        <f t="shared" ref="N101:O101" si="222">M101*0.8</f>
        <v>85.6</v>
      </c>
      <c r="O101" s="13">
        <f t="shared" si="222"/>
        <v>68.48</v>
      </c>
      <c r="P101" s="6">
        <f t="shared" si="11"/>
        <v>98</v>
      </c>
      <c r="Q101" s="13">
        <f t="shared" si="12"/>
        <v>98</v>
      </c>
      <c r="R101" s="13">
        <f t="shared" si="13"/>
        <v>98</v>
      </c>
      <c r="S101" s="13">
        <f t="shared" si="14"/>
        <v>98</v>
      </c>
      <c r="T101" s="13">
        <f t="shared" si="15"/>
        <v>100</v>
      </c>
      <c r="U101" s="13">
        <f t="shared" si="16"/>
        <v>115</v>
      </c>
      <c r="V101" s="16">
        <f t="shared" si="17"/>
        <v>200</v>
      </c>
      <c r="X101" s="7">
        <f t="shared" si="18"/>
        <v>53</v>
      </c>
      <c r="Y101" s="17" t="s">
        <v>39</v>
      </c>
      <c r="Z101" s="17" t="s">
        <v>39</v>
      </c>
      <c r="AA101" s="15">
        <f t="shared" si="19"/>
        <v>242.5</v>
      </c>
      <c r="AB101" s="15">
        <f t="shared" si="20"/>
        <v>24.5</v>
      </c>
      <c r="AC101" s="18">
        <f t="shared" si="21"/>
        <v>2</v>
      </c>
      <c r="AD101" s="13">
        <f t="shared" si="22"/>
        <v>0.8</v>
      </c>
      <c r="AE101" s="13">
        <f t="shared" si="23"/>
        <v>1.142857143</v>
      </c>
      <c r="AF101" s="13">
        <f t="shared" si="24"/>
        <v>4</v>
      </c>
      <c r="AG101" s="13">
        <f t="shared" si="25"/>
        <v>2.285714286</v>
      </c>
      <c r="AH101" s="13">
        <f t="shared" si="26"/>
        <v>1.6</v>
      </c>
      <c r="AI101" s="6">
        <v>1.0</v>
      </c>
      <c r="AJ101" s="6">
        <v>1.0</v>
      </c>
      <c r="AK101" s="13">
        <f t="shared" si="27"/>
        <v>0.325</v>
      </c>
      <c r="AL101" s="16">
        <f t="shared" si="28"/>
        <v>0.325</v>
      </c>
    </row>
    <row r="102">
      <c r="A102" s="19"/>
      <c r="B102" s="5">
        <v>98.0</v>
      </c>
      <c r="C102" s="6">
        <f t="shared" si="3"/>
        <v>16.74082468</v>
      </c>
      <c r="D102" s="6">
        <f t="shared" si="4"/>
        <v>52.47994497</v>
      </c>
      <c r="E102" s="13">
        <f t="shared" ref="E102:F102" si="223">D102*1.25</f>
        <v>65.59993121</v>
      </c>
      <c r="F102" s="13">
        <f t="shared" si="223"/>
        <v>81.99991401</v>
      </c>
      <c r="G102" s="13">
        <f t="shared" si="6"/>
        <v>122.999871</v>
      </c>
      <c r="H102" s="14">
        <f t="shared" si="7"/>
        <v>21.6</v>
      </c>
      <c r="I102" s="6"/>
      <c r="J102" s="6">
        <f t="shared" si="8"/>
        <v>21.6</v>
      </c>
      <c r="K102" s="13">
        <f t="shared" si="30"/>
        <v>113.7</v>
      </c>
      <c r="L102" s="13">
        <f t="shared" si="31"/>
        <v>125</v>
      </c>
      <c r="M102" s="15">
        <f t="shared" si="9"/>
        <v>108</v>
      </c>
      <c r="N102" s="13">
        <f t="shared" ref="N102:O102" si="224">M102*0.8</f>
        <v>86.4</v>
      </c>
      <c r="O102" s="13">
        <f t="shared" si="224"/>
        <v>69.12</v>
      </c>
      <c r="P102" s="6">
        <f t="shared" si="11"/>
        <v>99</v>
      </c>
      <c r="Q102" s="13">
        <f t="shared" si="12"/>
        <v>99</v>
      </c>
      <c r="R102" s="13">
        <f t="shared" si="13"/>
        <v>99</v>
      </c>
      <c r="S102" s="13">
        <f t="shared" si="14"/>
        <v>99</v>
      </c>
      <c r="T102" s="13">
        <f t="shared" si="15"/>
        <v>101</v>
      </c>
      <c r="U102" s="13">
        <f t="shared" si="16"/>
        <v>116.15</v>
      </c>
      <c r="V102" s="16">
        <f t="shared" si="17"/>
        <v>202</v>
      </c>
      <c r="X102" s="7">
        <f t="shared" si="18"/>
        <v>52</v>
      </c>
      <c r="Y102" s="17" t="s">
        <v>39</v>
      </c>
      <c r="Z102" s="17" t="s">
        <v>39</v>
      </c>
      <c r="AA102" s="15">
        <f t="shared" si="19"/>
        <v>245</v>
      </c>
      <c r="AB102" s="15">
        <f t="shared" si="20"/>
        <v>24.75</v>
      </c>
      <c r="AC102" s="18">
        <f t="shared" si="21"/>
        <v>2</v>
      </c>
      <c r="AD102" s="13">
        <f t="shared" si="22"/>
        <v>0.8</v>
      </c>
      <c r="AE102" s="13">
        <f t="shared" si="23"/>
        <v>1.142857143</v>
      </c>
      <c r="AF102" s="13">
        <f t="shared" si="24"/>
        <v>3</v>
      </c>
      <c r="AG102" s="13">
        <f t="shared" si="25"/>
        <v>1.714285714</v>
      </c>
      <c r="AH102" s="13">
        <f t="shared" si="26"/>
        <v>1.2</v>
      </c>
      <c r="AI102" s="6">
        <v>1.0</v>
      </c>
      <c r="AJ102" s="6">
        <v>1.0</v>
      </c>
      <c r="AK102" s="13">
        <f t="shared" si="27"/>
        <v>0.3</v>
      </c>
      <c r="AL102" s="16">
        <f t="shared" si="28"/>
        <v>0.3</v>
      </c>
    </row>
    <row r="103">
      <c r="A103" s="19"/>
      <c r="B103" s="5">
        <v>99.0</v>
      </c>
      <c r="C103" s="6">
        <f t="shared" si="3"/>
        <v>16.90654739</v>
      </c>
      <c r="D103" s="6">
        <f t="shared" si="4"/>
        <v>53.00525053</v>
      </c>
      <c r="E103" s="13">
        <f t="shared" ref="E103:F103" si="225">D103*1.25</f>
        <v>66.25656316</v>
      </c>
      <c r="F103" s="13">
        <f t="shared" si="225"/>
        <v>82.82070395</v>
      </c>
      <c r="G103" s="13">
        <f t="shared" si="6"/>
        <v>124.2310559</v>
      </c>
      <c r="H103" s="14">
        <f t="shared" si="7"/>
        <v>21.8</v>
      </c>
      <c r="I103" s="6"/>
      <c r="J103" s="6">
        <f t="shared" si="8"/>
        <v>21.8</v>
      </c>
      <c r="K103" s="13">
        <f t="shared" si="30"/>
        <v>114.85</v>
      </c>
      <c r="L103" s="13">
        <f t="shared" si="31"/>
        <v>126.25</v>
      </c>
      <c r="M103" s="15">
        <f t="shared" si="9"/>
        <v>109</v>
      </c>
      <c r="N103" s="13">
        <f t="shared" ref="N103:O103" si="226">M103*0.8</f>
        <v>87.2</v>
      </c>
      <c r="O103" s="13">
        <f t="shared" si="226"/>
        <v>69.76</v>
      </c>
      <c r="P103" s="6">
        <f t="shared" si="11"/>
        <v>100</v>
      </c>
      <c r="Q103" s="13">
        <f t="shared" si="12"/>
        <v>100</v>
      </c>
      <c r="R103" s="13">
        <f t="shared" si="13"/>
        <v>100</v>
      </c>
      <c r="S103" s="13">
        <f t="shared" si="14"/>
        <v>100</v>
      </c>
      <c r="T103" s="13">
        <f t="shared" si="15"/>
        <v>102</v>
      </c>
      <c r="U103" s="13">
        <f t="shared" si="16"/>
        <v>117.3</v>
      </c>
      <c r="V103" s="16">
        <f t="shared" si="17"/>
        <v>204</v>
      </c>
      <c r="X103" s="7">
        <f t="shared" si="18"/>
        <v>51</v>
      </c>
      <c r="Y103" s="17" t="s">
        <v>39</v>
      </c>
      <c r="Z103" s="17" t="s">
        <v>39</v>
      </c>
      <c r="AA103" s="15">
        <f t="shared" si="19"/>
        <v>247.5</v>
      </c>
      <c r="AB103" s="15">
        <f t="shared" si="20"/>
        <v>25</v>
      </c>
      <c r="AC103" s="18">
        <f t="shared" si="21"/>
        <v>2</v>
      </c>
      <c r="AD103" s="13">
        <f t="shared" si="22"/>
        <v>0.8</v>
      </c>
      <c r="AE103" s="13">
        <f t="shared" si="23"/>
        <v>1.142857143</v>
      </c>
      <c r="AF103" s="13">
        <f t="shared" si="24"/>
        <v>2</v>
      </c>
      <c r="AG103" s="13">
        <f t="shared" si="25"/>
        <v>1.142857143</v>
      </c>
      <c r="AH103" s="13">
        <f t="shared" si="26"/>
        <v>0.8</v>
      </c>
      <c r="AI103" s="6">
        <v>1.0</v>
      </c>
      <c r="AJ103" s="6">
        <v>1.0</v>
      </c>
      <c r="AK103" s="13">
        <f t="shared" si="27"/>
        <v>0.275</v>
      </c>
      <c r="AL103" s="16">
        <f t="shared" si="28"/>
        <v>0.275</v>
      </c>
    </row>
    <row r="104">
      <c r="A104" s="20"/>
      <c r="B104" s="5">
        <v>100.0</v>
      </c>
      <c r="C104" s="6">
        <f t="shared" si="3"/>
        <v>17.07227009</v>
      </c>
      <c r="D104" s="6">
        <f t="shared" si="4"/>
        <v>53.53055609</v>
      </c>
      <c r="E104" s="13">
        <f t="shared" ref="E104:F104" si="227">D104*1.25</f>
        <v>66.91319511</v>
      </c>
      <c r="F104" s="13">
        <f t="shared" si="227"/>
        <v>83.64149389</v>
      </c>
      <c r="G104" s="13">
        <f t="shared" si="6"/>
        <v>125.4622408</v>
      </c>
      <c r="H104" s="21">
        <f t="shared" si="7"/>
        <v>22</v>
      </c>
      <c r="I104" s="22"/>
      <c r="J104" s="22">
        <f t="shared" si="8"/>
        <v>22</v>
      </c>
      <c r="K104" s="23">
        <f t="shared" si="30"/>
        <v>116</v>
      </c>
      <c r="L104" s="23">
        <f t="shared" si="31"/>
        <v>127.5</v>
      </c>
      <c r="M104" s="24">
        <f t="shared" si="9"/>
        <v>110</v>
      </c>
      <c r="N104" s="23">
        <f t="shared" ref="N104:O104" si="228">M104*0.8</f>
        <v>88</v>
      </c>
      <c r="O104" s="23">
        <f t="shared" si="228"/>
        <v>70.4</v>
      </c>
      <c r="P104" s="22">
        <f t="shared" si="11"/>
        <v>101</v>
      </c>
      <c r="Q104" s="23">
        <f t="shared" si="12"/>
        <v>101</v>
      </c>
      <c r="R104" s="23">
        <f t="shared" si="13"/>
        <v>101</v>
      </c>
      <c r="S104" s="23">
        <f t="shared" si="14"/>
        <v>101</v>
      </c>
      <c r="T104" s="23">
        <f t="shared" si="15"/>
        <v>103</v>
      </c>
      <c r="U104" s="23">
        <f t="shared" si="16"/>
        <v>118.45</v>
      </c>
      <c r="V104" s="25">
        <f t="shared" si="17"/>
        <v>206</v>
      </c>
      <c r="X104" s="26">
        <f t="shared" si="18"/>
        <v>50</v>
      </c>
      <c r="Y104" s="27" t="s">
        <v>39</v>
      </c>
      <c r="Z104" s="27" t="s">
        <v>39</v>
      </c>
      <c r="AA104" s="24">
        <f t="shared" si="19"/>
        <v>250</v>
      </c>
      <c r="AB104" s="24">
        <f t="shared" si="20"/>
        <v>25.25</v>
      </c>
      <c r="AC104" s="28">
        <f t="shared" si="21"/>
        <v>2</v>
      </c>
      <c r="AD104" s="23">
        <f t="shared" si="22"/>
        <v>0.8</v>
      </c>
      <c r="AE104" s="23">
        <f t="shared" si="23"/>
        <v>1.142857143</v>
      </c>
      <c r="AF104" s="23">
        <f t="shared" si="24"/>
        <v>1</v>
      </c>
      <c r="AG104" s="23">
        <f t="shared" si="25"/>
        <v>0.5714285714</v>
      </c>
      <c r="AH104" s="23">
        <f t="shared" si="26"/>
        <v>0.4</v>
      </c>
      <c r="AI104" s="22">
        <v>1.0</v>
      </c>
      <c r="AJ104" s="22">
        <v>1.0</v>
      </c>
      <c r="AK104" s="23">
        <f t="shared" si="27"/>
        <v>0.25</v>
      </c>
      <c r="AL104" s="25">
        <f t="shared" si="28"/>
        <v>0.25</v>
      </c>
    </row>
  </sheetData>
  <mergeCells count="3">
    <mergeCell ref="C2:F2"/>
    <mergeCell ref="H2:V2"/>
    <mergeCell ref="X2:AL2"/>
  </mergeCells>
  <drawing r:id="rId1"/>
</worksheet>
</file>